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F:\RSQUARE\안전점검\점검 체크리스트\"/>
    </mc:Choice>
  </mc:AlternateContent>
  <xr:revisionPtr revIDLastSave="0" documentId="13_ncr:1_{B3500B82-2BA9-4829-B8F1-57430256C3D5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Check List (System)" sheetId="2" r:id="rId1"/>
    <sheet name="Check List(Patrol)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IntlFixup" hidden="1">TRUE</definedName>
    <definedName name="__p1" localSheetId="0" hidden="1">{#N/A,#N/A,FALSE,"현장 NCR 분석";#N/A,#N/A,FALSE,"현장품질감사";#N/A,#N/A,FALSE,"현장품질감사"}</definedName>
    <definedName name="__p1" hidden="1">{#N/A,#N/A,FALSE,"현장 NCR 분석";#N/A,#N/A,FALSE,"현장품질감사";#N/A,#N/A,FALSE,"현장품질감사"}</definedName>
    <definedName name="__TT1" localSheetId="0" hidden="1">{#N/A,#N/A,FALSE,"현장 NCR 분석";#N/A,#N/A,FALSE,"현장품질감사";#N/A,#N/A,FALSE,"현장품질감사"}</definedName>
    <definedName name="__TT1" hidden="1">{#N/A,#N/A,FALSE,"현장 NCR 분석";#N/A,#N/A,FALSE,"현장품질감사";#N/A,#N/A,FALSE,"현장품질감사"}</definedName>
    <definedName name="__TT3" localSheetId="0" hidden="1">{#N/A,#N/A,FALSE,"현장 NCR 분석";#N/A,#N/A,FALSE,"현장품질감사";#N/A,#N/A,FALSE,"현장품질감사"}</definedName>
    <definedName name="__TT3" hidden="1">{#N/A,#N/A,FALSE,"현장 NCR 분석";#N/A,#N/A,FALSE,"현장품질감사";#N/A,#N/A,FALSE,"현장품질감사"}</definedName>
    <definedName name="_13p1_" localSheetId="0" hidden="1">{#N/A,#N/A,FALSE,"현장 NCR 분석";#N/A,#N/A,FALSE,"현장품질감사";#N/A,#N/A,FALSE,"현장품질감사"}</definedName>
    <definedName name="_13p1_" hidden="1">{#N/A,#N/A,FALSE,"현장 NCR 분석";#N/A,#N/A,FALSE,"현장품질감사";#N/A,#N/A,FALSE,"현장품질감사"}</definedName>
    <definedName name="_Dist_Bin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'Check List (System)'!$A$4:$XFA$4</definedName>
    <definedName name="_xlnm._FilterDatabase" localSheetId="1" hidden="1">'Check List(Patrol)'!$A$4:$P$4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[1]프랜트면허!#REF!</definedName>
    <definedName name="_Order1" hidden="1">255</definedName>
    <definedName name="_Order2" hidden="1">255</definedName>
    <definedName name="_p1" localSheetId="0" hidden="1">{#N/A,#N/A,FALSE,"현장 NCR 분석";#N/A,#N/A,FALSE,"현장품질감사";#N/A,#N/A,FALSE,"현장품질감사"}</definedName>
    <definedName name="_p1" hidden="1">{#N/A,#N/A,FALSE,"현장 NCR 분석";#N/A,#N/A,FALSE,"현장품질감사";#N/A,#N/A,FALSE,"현장품질감사"}</definedName>
    <definedName name="_Regression_Int" hidden="1">1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T1" localSheetId="0" hidden="1">{#N/A,#N/A,FALSE,"현장 NCR 분석";#N/A,#N/A,FALSE,"현장품질감사";#N/A,#N/A,FALSE,"현장품질감사"}</definedName>
    <definedName name="_TT1" hidden="1">{#N/A,#N/A,FALSE,"현장 NCR 분석";#N/A,#N/A,FALSE,"현장품질감사";#N/A,#N/A,FALSE,"현장품질감사"}</definedName>
    <definedName name="_TT3" localSheetId="0" hidden="1">{#N/A,#N/A,FALSE,"현장 NCR 분석";#N/A,#N/A,FALSE,"현장품질감사";#N/A,#N/A,FALSE,"현장품질감사"}</definedName>
    <definedName name="_TT3" hidden="1">{#N/A,#N/A,FALSE,"현장 NCR 분석";#N/A,#N/A,FALSE,"현장품질감사";#N/A,#N/A,FALSE,"현장품질감사"}</definedName>
    <definedName name="_청라" localSheetId="0" hidden="1">{#N/A,#N/A,FALSE,"현장 NCR 분석";#N/A,#N/A,FALSE,"현장품질감사";#N/A,#N/A,FALSE,"현장품질감사"}</definedName>
    <definedName name="_청라" hidden="1">{#N/A,#N/A,FALSE,"현장 NCR 분석";#N/A,#N/A,FALSE,"현장품질감사";#N/A,#N/A,FALSE,"현장품질감사"}</definedName>
    <definedName name="aaaa" localSheetId="0" hidden="1">{#N/A,#N/A,FALSE,"현장 NCR 분석";#N/A,#N/A,FALSE,"현장품질감사";#N/A,#N/A,FALSE,"현장품질감사"}</definedName>
    <definedName name="aaaa" hidden="1">{#N/A,#N/A,FALSE,"현장 NCR 분석";#N/A,#N/A,FALSE,"현장품질감사";#N/A,#N/A,FALSE,"현장품질감사"}</definedName>
    <definedName name="aed" localSheetId="0" hidden="1">{#N/A,#N/A,FALSE,"현장 NCR 분석";#N/A,#N/A,FALSE,"현장품질감사";#N/A,#N/A,FALSE,"현장품질감사"}</definedName>
    <definedName name="aed" hidden="1">{#N/A,#N/A,FALSE,"현장 NCR 분석";#N/A,#N/A,FALSE,"현장품질감사";#N/A,#N/A,FALSE,"현장품질감사"}</definedName>
    <definedName name="ahdsjd" localSheetId="0" hidden="1">{#N/A,#N/A,FALSE,"현장 NCR 분석";#N/A,#N/A,FALSE,"현장품질감사";#N/A,#N/A,FALSE,"현장품질감사"}</definedName>
    <definedName name="ahdsjd" hidden="1">{#N/A,#N/A,FALSE,"현장 NCR 분석";#N/A,#N/A,FALSE,"현장품질감사";#N/A,#N/A,FALSE,"현장품질감사"}</definedName>
    <definedName name="Auditor">[2]Sheet1!$B$2:$B$11</definedName>
    <definedName name="de" localSheetId="0" hidden="1">{#N/A,#N/A,FALSE,"현장 NCR 분석";#N/A,#N/A,FALSE,"현장품질감사";#N/A,#N/A,FALSE,"현장품질감사"}</definedName>
    <definedName name="de" hidden="1">{#N/A,#N/A,FALSE,"현장 NCR 분석";#N/A,#N/A,FALSE,"현장품질감사";#N/A,#N/A,FALSE,"현장품질감사"}</definedName>
    <definedName name="dfgtrytr" localSheetId="0" hidden="1">{#N/A,#N/A,FALSE,"현장 NCR 분석";#N/A,#N/A,FALSE,"현장품질감사";#N/A,#N/A,FALSE,"현장품질감사"}</definedName>
    <definedName name="dfgtrytr" hidden="1">{#N/A,#N/A,FALSE,"현장 NCR 분석";#N/A,#N/A,FALSE,"현장품질감사";#N/A,#N/A,FALSE,"현장품질감사"}</definedName>
    <definedName name="DHGFGYE" localSheetId="0" hidden="1">{#N/A,#N/A,FALSE,"현장 NCR 분석";#N/A,#N/A,FALSE,"현장품질감사";#N/A,#N/A,FALSE,"현장품질감사"}</definedName>
    <definedName name="DHGFGYE" hidden="1">{#N/A,#N/A,FALSE,"현장 NCR 분석";#N/A,#N/A,FALSE,"현장품질감사";#N/A,#N/A,FALSE,"현장품질감사"}</definedName>
    <definedName name="DK" localSheetId="0" hidden="1">{#N/A,#N/A,FALSE,"CAM-G7";#N/A,#N/A,FALSE,"SPL";#N/A,#N/A,FALSE,"butt-in G7";#N/A,#N/A,FALSE,"dia-in G7";#N/A,#N/A,FALSE,"추가-STA G7"}</definedName>
    <definedName name="DK" hidden="1">{#N/A,#N/A,FALSE,"CAM-G7";#N/A,#N/A,FALSE,"SPL";#N/A,#N/A,FALSE,"butt-in G7";#N/A,#N/A,FALSE,"dia-in G7";#N/A,#N/A,FALSE,"추가-STA G7"}</definedName>
    <definedName name="dn" localSheetId="0" hidden="1">{#N/A,#N/A,FALSE,"혼합골재"}</definedName>
    <definedName name="dn" hidden="1">{#N/A,#N/A,FALSE,"혼합골재"}</definedName>
    <definedName name="DPCT" localSheetId="0" hidden="1">{#N/A,#N/A,FALSE,"현장 NCR 분석";#N/A,#N/A,FALSE,"현장품질감사";#N/A,#N/A,FALSE,"현장품질감사"}</definedName>
    <definedName name="DPCT" hidden="1">{#N/A,#N/A,FALSE,"현장 NCR 분석";#N/A,#N/A,FALSE,"현장품질감사";#N/A,#N/A,FALSE,"현장품질감사"}</definedName>
    <definedName name="dpct1" localSheetId="0" hidden="1">{#N/A,#N/A,FALSE,"현장 NCR 분석";#N/A,#N/A,FALSE,"현장품질감사";#N/A,#N/A,FALSE,"현장품질감사"}</definedName>
    <definedName name="dpct1" hidden="1">{#N/A,#N/A,FALSE,"현장 NCR 분석";#N/A,#N/A,FALSE,"현장품질감사";#N/A,#N/A,FALSE,"현장품질감사"}</definedName>
    <definedName name="DPCT2" localSheetId="0" hidden="1">{#N/A,#N/A,FALSE,"현장 NCR 분석";#N/A,#N/A,FALSE,"현장품질감사";#N/A,#N/A,FALSE,"현장품질감사"}</definedName>
    <definedName name="DPCT2" hidden="1">{#N/A,#N/A,FALSE,"현장 NCR 분석";#N/A,#N/A,FALSE,"현장품질감사";#N/A,#N/A,FALSE,"현장품질감사"}</definedName>
    <definedName name="ee" localSheetId="0" hidden="1">{#N/A,#N/A,FALSE,"단가표지"}</definedName>
    <definedName name="ee" hidden="1">{#N/A,#N/A,FALSE,"단가표지"}</definedName>
    <definedName name="eswdrfas" localSheetId="0" hidden="1">{#N/A,#N/A,FALSE,"단가표지"}</definedName>
    <definedName name="eswdrfas" hidden="1">{#N/A,#N/A,FALSE,"단가표지"}</definedName>
    <definedName name="FDUG" localSheetId="0" hidden="1">{#N/A,#N/A,FALSE,"현장 NCR 분석";#N/A,#N/A,FALSE,"현장품질감사";#N/A,#N/A,FALSE,"현장품질감사"}</definedName>
    <definedName name="FDUG" hidden="1">{#N/A,#N/A,FALSE,"현장 NCR 분석";#N/A,#N/A,FALSE,"현장품질감사";#N/A,#N/A,FALSE,"현장품질감사"}</definedName>
    <definedName name="ff" localSheetId="0" hidden="1">{#N/A,#N/A,FALSE,"현장 NCR 분석";#N/A,#N/A,FALSE,"현장품질감사";#N/A,#N/A,FALSE,"현장품질감사"}</definedName>
    <definedName name="ff" hidden="1">{#N/A,#N/A,FALSE,"현장 NCR 분석";#N/A,#N/A,FALSE,"현장품질감사";#N/A,#N/A,FALSE,"현장품질감사"}</definedName>
    <definedName name="fgggggg" localSheetId="0" hidden="1">{#N/A,#N/A,FALSE,"현장 NCR 분석";#N/A,#N/A,FALSE,"현장품질감사";#N/A,#N/A,FALSE,"현장품질감사"}</definedName>
    <definedName name="fgggggg" hidden="1">{#N/A,#N/A,FALSE,"현장 NCR 분석";#N/A,#N/A,FALSE,"현장품질감사";#N/A,#N/A,FALSE,"현장품질감사"}</definedName>
    <definedName name="fgh" localSheetId="0" hidden="1">{#N/A,#N/A,FALSE,"현장 NCR 분석";#N/A,#N/A,FALSE,"현장품질감사";#N/A,#N/A,FALSE,"현장품질감사"}</definedName>
    <definedName name="fgh" hidden="1">{#N/A,#N/A,FALSE,"현장 NCR 분석";#N/A,#N/A,FALSE,"현장품질감사";#N/A,#N/A,FALSE,"현장품질감사"}</definedName>
    <definedName name="fghfgh" localSheetId="0" hidden="1">{#N/A,#N/A,FALSE,"현장 NCR 분석";#N/A,#N/A,FALSE,"현장품질감사";#N/A,#N/A,FALSE,"현장품질감사"}</definedName>
    <definedName name="fghfgh" hidden="1">{#N/A,#N/A,FALSE,"현장 NCR 분석";#N/A,#N/A,FALSE,"현장품질감사";#N/A,#N/A,FALSE,"현장품질감사"}</definedName>
    <definedName name="fghjfjg" localSheetId="0" hidden="1">{#N/A,#N/A,FALSE,"현장 NCR 분석";#N/A,#N/A,FALSE,"현장품질감사";#N/A,#N/A,FALSE,"현장품질감사"}</definedName>
    <definedName name="fghjfjg" hidden="1">{#N/A,#N/A,FALSE,"현장 NCR 분석";#N/A,#N/A,FALSE,"현장품질감사";#N/A,#N/A,FALSE,"현장품질감사"}</definedName>
    <definedName name="fhhgh" localSheetId="0" hidden="1">{#N/A,#N/A,FALSE,"현장 NCR 분석";#N/A,#N/A,FALSE,"현장품질감사";#N/A,#N/A,FALSE,"현장품질감사"}</definedName>
    <definedName name="fhhgh" hidden="1">{#N/A,#N/A,FALSE,"현장 NCR 분석";#N/A,#N/A,FALSE,"현장품질감사";#N/A,#N/A,FALSE,"현장품질감사"}</definedName>
    <definedName name="grew" hidden="1">#REF!</definedName>
    <definedName name="han" hidden="1">#REF!</definedName>
    <definedName name="hgfyt" localSheetId="0" hidden="1">{#N/A,#N/A,FALSE,"현장 NCR 분석";#N/A,#N/A,FALSE,"현장품질감사";#N/A,#N/A,FALSE,"현장품질감사"}</definedName>
    <definedName name="hgfyt" hidden="1">{#N/A,#N/A,FALSE,"현장 NCR 분석";#N/A,#N/A,FALSE,"현장품질감사";#N/A,#N/A,FALSE,"현장품질감사"}</definedName>
    <definedName name="HSDGFSJ" localSheetId="0" hidden="1">{#N/A,#N/A,FALSE,"현장 NCR 분석";#N/A,#N/A,FALSE,"현장품질감사";#N/A,#N/A,FALSE,"현장품질감사"}</definedName>
    <definedName name="HSDGFSJ" hidden="1">{#N/A,#N/A,FALSE,"현장 NCR 분석";#N/A,#N/A,FALSE,"현장품질감사";#N/A,#N/A,FALSE,"현장품질감사"}</definedName>
    <definedName name="j" hidden="1">#REF!</definedName>
    <definedName name="JAHSG" localSheetId="0" hidden="1">{#N/A,#N/A,FALSE,"현장 NCR 분석";#N/A,#N/A,FALSE,"현장품질감사";#N/A,#N/A,FALSE,"현장품질감사"}</definedName>
    <definedName name="JAHSG" hidden="1">{#N/A,#N/A,FALSE,"현장 NCR 분석";#N/A,#N/A,FALSE,"현장품질감사";#N/A,#N/A,FALSE,"현장품질감사"}</definedName>
    <definedName name="jahsgie" localSheetId="0" hidden="1">{#N/A,#N/A,FALSE,"현장 NCR 분석";#N/A,#N/A,FALSE,"현장품질감사";#N/A,#N/A,FALSE,"현장품질감사"}</definedName>
    <definedName name="jahsgie" hidden="1">{#N/A,#N/A,FALSE,"현장 NCR 분석";#N/A,#N/A,FALSE,"현장품질감사";#N/A,#N/A,FALSE,"현장품질감사"}</definedName>
    <definedName name="jey" localSheetId="0" hidden="1">{#N/A,#N/A,FALSE,"현장 NCR 분석";#N/A,#N/A,FALSE,"현장품질감사";#N/A,#N/A,FALSE,"현장품질감사"}</definedName>
    <definedName name="jey" hidden="1">{#N/A,#N/A,FALSE,"현장 NCR 분석";#N/A,#N/A,FALSE,"현장품질감사";#N/A,#N/A,FALSE,"현장품질감사"}</definedName>
    <definedName name="kiyg" localSheetId="0" hidden="1">{#N/A,#N/A,FALSE,"현장 NCR 분석";#N/A,#N/A,FALSE,"현장품질감사";#N/A,#N/A,FALSE,"현장품질감사"}</definedName>
    <definedName name="kiyg" hidden="1">{#N/A,#N/A,FALSE,"현장 NCR 분석";#N/A,#N/A,FALSE,"현장품질감사";#N/A,#N/A,FALSE,"현장품질감사"}</definedName>
    <definedName name="kk" hidden="1">#REF!</definedName>
    <definedName name="ldfjesoi" localSheetId="0" hidden="1">{#N/A,#N/A,FALSE,"현장 NCR 분석";#N/A,#N/A,FALSE,"현장품질감사";#N/A,#N/A,FALSE,"현장품질감사"}</definedName>
    <definedName name="ldfjesoi" hidden="1">{#N/A,#N/A,FALSE,"현장 NCR 분석";#N/A,#N/A,FALSE,"현장품질감사";#N/A,#N/A,FALSE,"현장품질감사"}</definedName>
    <definedName name="Level_1__11">#REF!</definedName>
    <definedName name="Level_2__46">#REF!</definedName>
    <definedName name="Patrol">#REF!</definedName>
    <definedName name="_xlnm.Print_Area" localSheetId="0">'Check List (System)'!$B$1:$K$57</definedName>
    <definedName name="_xlnm.Print_Area" localSheetId="1">'Check List(Patrol)'!$B$1:$K$106</definedName>
    <definedName name="_xlnm.Print_Titles" localSheetId="0">'Check List (System)'!$1:$3</definedName>
    <definedName name="_xlnm.Print_Titles" localSheetId="1">'Check List(Patrol)'!$3:$3</definedName>
    <definedName name="qq" localSheetId="0" hidden="1">{#N/A,#N/A,FALSE,"단가표지"}</definedName>
    <definedName name="qq" hidden="1">{#N/A,#N/A,FALSE,"단가표지"}</definedName>
    <definedName name="qw" localSheetId="0" hidden="1">{#N/A,#N/A,FALSE,"단가표지"}</definedName>
    <definedName name="qw" hidden="1">{#N/A,#N/A,FALSE,"단가표지"}</definedName>
    <definedName name="rgrg" localSheetId="0" hidden="1">{#N/A,#N/A,FALSE,"현장 NCR 분석";#N/A,#N/A,FALSE,"현장품질감사";#N/A,#N/A,FALSE,"현장품질감사"}</definedName>
    <definedName name="rgrg" hidden="1">{#N/A,#N/A,FALSE,"현장 NCR 분석";#N/A,#N/A,FALSE,"현장품질감사";#N/A,#N/A,FALSE,"현장품질감사"}</definedName>
    <definedName name="sdf" localSheetId="0" hidden="1">{#N/A,#N/A,FALSE,"현장 NCR 분석";#N/A,#N/A,FALSE,"현장품질감사";#N/A,#N/A,FALSE,"현장품질감사"}</definedName>
    <definedName name="sdf" hidden="1">{#N/A,#N/A,FALSE,"현장 NCR 분석";#N/A,#N/A,FALSE,"현장품질감사";#N/A,#N/A,FALSE,"현장품질감사"}</definedName>
    <definedName name="sdf4e" localSheetId="0" hidden="1">{#N/A,#N/A,FALSE,"현장 NCR 분석";#N/A,#N/A,FALSE,"현장품질감사";#N/A,#N/A,FALSE,"현장품질감사"}</definedName>
    <definedName name="sdf4e" hidden="1">{#N/A,#N/A,FALSE,"현장 NCR 분석";#N/A,#N/A,FALSE,"현장품질감사";#N/A,#N/A,FALSE,"현장품질감사"}</definedName>
    <definedName name="sdg" hidden="1">#REF!</definedName>
    <definedName name="sdggr" localSheetId="0" hidden="1">{#N/A,#N/A,FALSE,"현장 NCR 분석";#N/A,#N/A,FALSE,"현장품질감사";#N/A,#N/A,FALSE,"현장품질감사"}</definedName>
    <definedName name="sdggr" hidden="1">{#N/A,#N/A,FALSE,"현장 NCR 분석";#N/A,#N/A,FALSE,"현장품질감사";#N/A,#N/A,FALSE,"현장품질감사"}</definedName>
    <definedName name="SDHF" localSheetId="0" hidden="1">{#N/A,#N/A,FALSE,"현장 NCR 분석";#N/A,#N/A,FALSE,"현장품질감사";#N/A,#N/A,FALSE,"현장품질감사"}</definedName>
    <definedName name="SDHF" hidden="1">{#N/A,#N/A,FALSE,"현장 NCR 분석";#N/A,#N/A,FALSE,"현장품질감사";#N/A,#N/A,FALSE,"현장품질감사"}</definedName>
    <definedName name="sdsdrgsth" localSheetId="0" hidden="1">{#N/A,#N/A,FALSE,"현장 NCR 분석";#N/A,#N/A,FALSE,"현장품질감사";#N/A,#N/A,FALSE,"현장품질감사"}</definedName>
    <definedName name="sdsdrgsth" hidden="1">{#N/A,#N/A,FALSE,"현장 NCR 분석";#N/A,#N/A,FALSE,"현장품질감사";#N/A,#N/A,FALSE,"현장품질감사"}</definedName>
    <definedName name="sdwe" localSheetId="0" hidden="1">{#N/A,#N/A,FALSE,"현장 NCR 분석";#N/A,#N/A,FALSE,"현장품질감사";#N/A,#N/A,FALSE,"현장품질감사"}</definedName>
    <definedName name="sdwe" hidden="1">{#N/A,#N/A,FALSE,"현장 NCR 분석";#N/A,#N/A,FALSE,"현장품질감사";#N/A,#N/A,FALSE,"현장품질감사"}</definedName>
    <definedName name="SDWERFTGY" localSheetId="0" hidden="1">{#N/A,#N/A,FALSE,"현장 NCR 분석";#N/A,#N/A,FALSE,"현장품질감사";#N/A,#N/A,FALSE,"현장품질감사"}</definedName>
    <definedName name="SDWERFTGY" hidden="1">{#N/A,#N/A,FALSE,"현장 NCR 분석";#N/A,#N/A,FALSE,"현장품질감사";#N/A,#N/A,FALSE,"현장품질감사"}</definedName>
    <definedName name="SDYF" localSheetId="0" hidden="1">{#N/A,#N/A,FALSE,"현장 NCR 분석";#N/A,#N/A,FALSE,"현장품질감사";#N/A,#N/A,FALSE,"현장품질감사"}</definedName>
    <definedName name="SDYF" hidden="1">{#N/A,#N/A,FALSE,"현장 NCR 분석";#N/A,#N/A,FALSE,"현장품질감사";#N/A,#N/A,FALSE,"현장품질감사"}</definedName>
    <definedName name="SJDGHFYCF" localSheetId="0" hidden="1">{#N/A,#N/A,FALSE,"현장 NCR 분석";#N/A,#N/A,FALSE,"현장품질감사";#N/A,#N/A,FALSE,"현장품질감사"}</definedName>
    <definedName name="SJDGHFYCF" hidden="1">{#N/A,#N/A,FALSE,"현장 NCR 분석";#N/A,#N/A,FALSE,"현장품질감사";#N/A,#N/A,FALSE,"현장품질감사"}</definedName>
    <definedName name="sjdhfh" localSheetId="0" hidden="1">{#N/A,#N/A,FALSE,"현장 NCR 분석";#N/A,#N/A,FALSE,"현장품질감사";#N/A,#N/A,FALSE,"현장품질감사"}</definedName>
    <definedName name="sjdhfh" hidden="1">{#N/A,#N/A,FALSE,"현장 NCR 분석";#N/A,#N/A,FALSE,"현장품질감사";#N/A,#N/A,FALSE,"현장품질감사"}</definedName>
    <definedName name="sjwe" localSheetId="0" hidden="1">{#N/A,#N/A,FALSE,"현장 NCR 분석";#N/A,#N/A,FALSE,"현장품질감사";#N/A,#N/A,FALSE,"현장품질감사"}</definedName>
    <definedName name="sjwe" hidden="1">{#N/A,#N/A,FALSE,"현장 NCR 분석";#N/A,#N/A,FALSE,"현장품질감사";#N/A,#N/A,FALSE,"현장품질감사"}</definedName>
    <definedName name="ss" localSheetId="0" hidden="1">{#N/A,#N/A,FALSE,"운반시간"}</definedName>
    <definedName name="ss" hidden="1">{#N/A,#N/A,FALSE,"운반시간"}</definedName>
    <definedName name="sss" localSheetId="0" hidden="1">{#N/A,#N/A,FALSE,"전력간선"}</definedName>
    <definedName name="sss" hidden="1">{#N/A,#N/A,FALSE,"전력간선"}</definedName>
    <definedName name="System">#REF!</definedName>
    <definedName name="tr" hidden="1">#REF!</definedName>
    <definedName name="wer" localSheetId="0" hidden="1">{#N/A,#N/A,FALSE,"현장 NCR 분석";#N/A,#N/A,FALSE,"현장품질감사";#N/A,#N/A,FALSE,"현장품질감사"}</definedName>
    <definedName name="wer" hidden="1">{#N/A,#N/A,FALSE,"현장 NCR 분석";#N/A,#N/A,FALSE,"현장품질감사";#N/A,#N/A,FALSE,"현장품질감사"}</definedName>
    <definedName name="WL" localSheetId="0" hidden="1">{#N/A,#N/A,FALSE,"현장 NCR 분석";#N/A,#N/A,FALSE,"현장품질감사";#N/A,#N/A,FALSE,"현장품질감사"}</definedName>
    <definedName name="WL" hidden="1">{#N/A,#N/A,FALSE,"현장 NCR 분석";#N/A,#N/A,FALSE,"현장품질감사";#N/A,#N/A,FALSE,"현장품질감사"}</definedName>
    <definedName name="wm.조골재1" localSheetId="0" hidden="1">{#N/A,#N/A,FALSE,"조골재"}</definedName>
    <definedName name="wm.조골재1" hidden="1">{#N/A,#N/A,FALSE,"조골재"}</definedName>
    <definedName name="wqw" localSheetId="0" hidden="1">{#N/A,#N/A,FALSE,"골재소요량";#N/A,#N/A,FALSE,"골재소요량"}</definedName>
    <definedName name="wqw" hidden="1">{#N/A,#N/A,FALSE,"골재소요량";#N/A,#N/A,FALSE,"골재소요량"}</definedName>
    <definedName name="wrn.2번." localSheetId="0" hidden="1">{#N/A,#N/A,FALSE,"2~8번"}</definedName>
    <definedName name="wrn.2번." hidden="1">{#N/A,#N/A,FALSE,"2~8번"}</definedName>
    <definedName name="wrn.3" localSheetId="0" hidden="1">{#N/A,#N/A,FALSE,"2~8번"}</definedName>
    <definedName name="wrn.3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A." localSheetId="0" hidden="1">{#N/A,#N/A,FALSE,"CAM-G7";#N/A,#N/A,FALSE,"SPL";#N/A,#N/A,FALSE,"butt-in G7";#N/A,#N/A,FALSE,"dia-in G7";#N/A,#N/A,FALSE,"추가-STA G7"}</definedName>
    <definedName name="wrn.AA." hidden="1">{#N/A,#N/A,FALSE,"CAM-G7";#N/A,#N/A,FALSE,"SPL";#N/A,#N/A,FALSE,"butt-in G7";#N/A,#N/A,FALSE,"dia-in G7";#N/A,#N/A,FALSE,"추가-STA G7"}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wwwwww" localSheetId="0" hidden="1">{#N/A,#N/A,FALSE,"현장 NCR 분석";#N/A,#N/A,FALSE,"현장품질감사";#N/A,#N/A,FALSE,"현장품질감사"}</definedName>
    <definedName name="wwwwwww" hidden="1">{#N/A,#N/A,FALSE,"현장 NCR 분석";#N/A,#N/A,FALSE,"현장품질감사";#N/A,#N/A,FALSE,"현장품질감사"}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hidden="1">#REF!</definedName>
    <definedName name="xxx" hidden="1">#REF!</definedName>
    <definedName name="ykjyukuy" localSheetId="0" hidden="1">{#N/A,#N/A,FALSE,"현장 NCR 분석";#N/A,#N/A,FALSE,"현장품질감사";#N/A,#N/A,FALSE,"현장품질감사"}</definedName>
    <definedName name="ykjyukuy" hidden="1">{#N/A,#N/A,FALSE,"현장 NCR 분석";#N/A,#N/A,FALSE,"현장품질감사";#N/A,#N/A,FALSE,"현장품질감사"}</definedName>
    <definedName name="yufkjh" localSheetId="0" hidden="1">{#N/A,#N/A,FALSE,"운반시간"}</definedName>
    <definedName name="yufkjh" hidden="1">{#N/A,#N/A,FALSE,"운반시간"}</definedName>
    <definedName name="yyyhh" localSheetId="0" hidden="1">{#N/A,#N/A,FALSE,"현장 NCR 분석";#N/A,#N/A,FALSE,"현장품질감사";#N/A,#N/A,FALSE,"현장품질감사"}</definedName>
    <definedName name="yyyhh" hidden="1">{#N/A,#N/A,FALSE,"현장 NCR 분석";#N/A,#N/A,FALSE,"현장품질감사";#N/A,#N/A,FALSE,"현장품질감사"}</definedName>
    <definedName name="ㄱㅈㅎ" hidden="1">#REF!</definedName>
    <definedName name="가" localSheetId="0" hidden="1">{#N/A,#N/A,FALSE,"운반시간"}</definedName>
    <definedName name="가" hidden="1">{#N/A,#N/A,FALSE,"운반시간"}</definedName>
    <definedName name="가1" localSheetId="0" hidden="1">{#N/A,#N/A,FALSE,"2~8번"}</definedName>
    <definedName name="가1" hidden="1">{#N/A,#N/A,FALSE,"2~8번"}</definedName>
    <definedName name="가2" localSheetId="0" hidden="1">{#N/A,#N/A,FALSE,"골재소요량";#N/A,#N/A,FALSE,"골재소요량"}</definedName>
    <definedName name="가2" hidden="1">{#N/A,#N/A,FALSE,"골재소요량";#N/A,#N/A,FALSE,"골재소요량"}</definedName>
    <definedName name="가3" localSheetId="0" hidden="1">{#N/A,#N/A,FALSE,"단가표지"}</definedName>
    <definedName name="가3" hidden="1">{#N/A,#N/A,FALSE,"단가표지"}</definedName>
    <definedName name="감리단" localSheetId="0" hidden="1">{#N/A,#N/A,FALSE,"현장 NCR 분석";#N/A,#N/A,FALSE,"현장품질감사";#N/A,#N/A,FALSE,"현장품질감사"}</definedName>
    <definedName name="감리단" hidden="1">{#N/A,#N/A,FALSE,"현장 NCR 분석";#N/A,#N/A,FALSE,"현장품질감사";#N/A,#N/A,FALSE,"현장품질감사"}</definedName>
    <definedName name="개구부단부">#REF!</definedName>
    <definedName name="개선목차" localSheetId="0" hidden="1">{#N/A,#N/A,FALSE,"현장 NCR 분석";#N/A,#N/A,FALSE,"현장품질감사";#N/A,#N/A,FALSE,"현장품질감사"}</definedName>
    <definedName name="개선목차" hidden="1">{#N/A,#N/A,FALSE,"현장 NCR 분석";#N/A,#N/A,FALSE,"현장품질감사";#N/A,#N/A,FALSE,"현장품질감사"}</definedName>
    <definedName name="개요" localSheetId="0" hidden="1">{#N/A,#N/A,FALSE,"단가표지"}</definedName>
    <definedName name="개요" hidden="1">{#N/A,#N/A,FALSE,"단가표지"}</definedName>
    <definedName name="거푸집및동바리">#REF!</definedName>
    <definedName name="건설장비">#REF!</definedName>
    <definedName name="검사조서" localSheetId="0" hidden="1">{#N/A,#N/A,FALSE,"현장 NCR 분석";#N/A,#N/A,FALSE,"현장품질감사";#N/A,#N/A,FALSE,"현장품질감사"}</definedName>
    <definedName name="검사조서" hidden="1">{#N/A,#N/A,FALSE,"현장 NCR 분석";#N/A,#N/A,FALSE,"현장품질감사";#N/A,#N/A,FALSE,"현장품질감사"}</definedName>
    <definedName name="견적" localSheetId="0" hidden="1">{#N/A,#N/A,FALSE,"현장 NCR 분석";#N/A,#N/A,FALSE,"현장품질감사";#N/A,#N/A,FALSE,"현장품질감사"}</definedName>
    <definedName name="견적" hidden="1">{#N/A,#N/A,FALSE,"현장 NCR 분석";#N/A,#N/A,FALSE,"현장품질감사";#N/A,#N/A,FALSE,"현장품질감사"}</definedName>
    <definedName name="경상이익" localSheetId="0" hidden="1">{#N/A,#N/A,FALSE,"현장 NCR 분석";#N/A,#N/A,FALSE,"현장품질감사";#N/A,#N/A,FALSE,"현장품질감사"}</definedName>
    <definedName name="경상이익" hidden="1">{#N/A,#N/A,FALSE,"현장 NCR 분석";#N/A,#N/A,FALSE,"현장품질감사";#N/A,#N/A,FALSE,"현장품질감사"}</definedName>
    <definedName name="경춘선" localSheetId="0" hidden="1">{#N/A,#N/A,FALSE,"현장 NCR 분석";#N/A,#N/A,FALSE,"현장품질감사";#N/A,#N/A,FALSE,"현장품질감사"}</definedName>
    <definedName name="경춘선" hidden="1">{#N/A,#N/A,FALSE,"현장 NCR 분석";#N/A,#N/A,FALSE,"현장품질감사";#N/A,#N/A,FALSE,"현장품질감사"}</definedName>
    <definedName name="고령" localSheetId="0" hidden="1">{#N/A,#N/A,FALSE,"현장 NCR 분석";#N/A,#N/A,FALSE,"현장품질감사";#N/A,#N/A,FALSE,"현장품질감사"}</definedName>
    <definedName name="고령" hidden="1">{#N/A,#N/A,FALSE,"현장 NCR 분석";#N/A,#N/A,FALSE,"현장품질감사";#N/A,#N/A,FALSE,"현장품질감사"}</definedName>
    <definedName name="골재" localSheetId="0" hidden="1">{#N/A,#N/A,FALSE,"혼합골재"}</definedName>
    <definedName name="골재" hidden="1">{#N/A,#N/A,FALSE,"혼합골재"}</definedName>
    <definedName name="공도구">#REF!</definedName>
    <definedName name="공문1" localSheetId="0" hidden="1">{#N/A,#N/A,FALSE,"현장 NCR 분석";#N/A,#N/A,FALSE,"현장품질감사";#N/A,#N/A,FALSE,"현장품질감사"}</definedName>
    <definedName name="공문1" hidden="1">{#N/A,#N/A,FALSE,"현장 NCR 분석";#N/A,#N/A,FALSE,"현장품질감사";#N/A,#N/A,FALSE,"현장품질감사"}</definedName>
    <definedName name="공사종류">[3]Sheet1!$N$4:$N$6</definedName>
    <definedName name="공정표" localSheetId="0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관리공문" localSheetId="0" hidden="1">{#N/A,#N/A,FALSE,"현장 NCR 분석";#N/A,#N/A,FALSE,"현장품질감사";#N/A,#N/A,FALSE,"현장품질감사"}</definedName>
    <definedName name="관리공문" hidden="1">{#N/A,#N/A,FALSE,"현장 NCR 분석";#N/A,#N/A,FALSE,"현장품질감사";#N/A,#N/A,FALSE,"현장품질감사"}</definedName>
    <definedName name="광" localSheetId="0" hidden="1">{#N/A,#N/A,FALSE,"현장 NCR 분석";#N/A,#N/A,FALSE,"현장품질감사";#N/A,#N/A,FALSE,"현장품질감사"}</definedName>
    <definedName name="광" hidden="1">{#N/A,#N/A,FALSE,"현장 NCR 분석";#N/A,#N/A,FALSE,"현장품질감사";#N/A,#N/A,FALSE,"현장품질감사"}</definedName>
    <definedName name="구" localSheetId="0" hidden="1">{#N/A,#N/A,FALSE,"현장 NCR 분석";#N/A,#N/A,FALSE,"현장품질감사";#N/A,#N/A,FALSE,"현장품질감사"}</definedName>
    <definedName name="구" hidden="1">{#N/A,#N/A,FALSE,"현장 NCR 분석";#N/A,#N/A,FALSE,"현장품질감사";#N/A,#N/A,FALSE,"현장품질감사"}</definedName>
    <definedName name="구견적" localSheetId="0" hidden="1">{#N/A,#N/A,FALSE,"단가표지"}</definedName>
    <definedName name="구견적" hidden="1">{#N/A,#N/A,FALSE,"단가표지"}</definedName>
    <definedName name="구분">#REF!</definedName>
    <definedName name="구산갑지" hidden="1">#REF!</definedName>
    <definedName name="구조1" localSheetId="0" hidden="1">{#N/A,#N/A,FALSE,"부대1"}</definedName>
    <definedName name="구조1" hidden="1">{#N/A,#N/A,FALSE,"부대1"}</definedName>
    <definedName name="구조견적" localSheetId="0" hidden="1">{#N/A,#N/A,FALSE,"단가표지"}</definedName>
    <definedName name="구조견적" hidden="1">{#N/A,#N/A,FALSE,"단가표지"}</definedName>
    <definedName name="국내">#REF!</definedName>
    <definedName name="기" localSheetId="0" hidden="1">{#N/A,#N/A,FALSE,"현장 NCR 분석";#N/A,#N/A,FALSE,"현장품질감사";#N/A,#N/A,FALSE,"현장품질감사"}</definedName>
    <definedName name="기" hidden="1">{#N/A,#N/A,FALSE,"현장 NCR 분석";#N/A,#N/A,FALSE,"현장품질감사";#N/A,#N/A,FALSE,"현장품질감사"}</definedName>
    <definedName name="기계설비" localSheetId="0" hidden="1">{#N/A,#N/A,FALSE,"현장 NCR 분석";#N/A,#N/A,FALSE,"현장품질감사";#N/A,#N/A,FALSE,"현장품질감사"}</definedName>
    <definedName name="기계설비" hidden="1">{#N/A,#N/A,FALSE,"현장 NCR 분석";#N/A,#N/A,FALSE,"현장품질감사";#N/A,#N/A,FALSE,"현장품질감사"}</definedName>
    <definedName name="기성검사1" hidden="1">#REF!</definedName>
    <definedName name="기인물_Leve1">#REF!</definedName>
    <definedName name="기인물_Level1">#REF!</definedName>
    <definedName name="기타손익계획" localSheetId="0" hidden="1">{#N/A,#N/A,FALSE,"현장 NCR 분석";#N/A,#N/A,FALSE,"현장품질감사";#N/A,#N/A,FALSE,"현장품질감사"}</definedName>
    <definedName name="기타손익계획" hidden="1">{#N/A,#N/A,FALSE,"현장 NCR 분석";#N/A,#N/A,FALSE,"현장품질감사";#N/A,#N/A,FALSE,"현장품질감사"}</definedName>
    <definedName name="김동균" localSheetId="0" hidden="1">{#N/A,#N/A,FALSE,"현장 NCR 분석";#N/A,#N/A,FALSE,"현장품질감사";#N/A,#N/A,FALSE,"현장품질감사"}</definedName>
    <definedName name="김동균" hidden="1">{#N/A,#N/A,FALSE,"현장 NCR 분석";#N/A,#N/A,FALSE,"현장품질감사";#N/A,#N/A,FALSE,"현장품질감사"}</definedName>
    <definedName name="ㄴ" localSheetId="0" hidden="1">{#N/A,#N/A,FALSE,"골재소요량";#N/A,#N/A,FALSE,"골재소요량"}</definedName>
    <definedName name="ㄴ" hidden="1">{#N/A,#N/A,FALSE,"골재소요량";#N/A,#N/A,FALSE,"골재소요량"}</definedName>
    <definedName name="ㄴㄱㄹ" hidden="1">#REF!</definedName>
    <definedName name="ㄴㄴ" localSheetId="0" hidden="1">{#N/A,#N/A,FALSE,"단가표지"}</definedName>
    <definedName name="ㄴㄴ" hidden="1">{#N/A,#N/A,FALSE,"단가표지"}</definedName>
    <definedName name="ㄴㅁ" hidden="1">#REF!</definedName>
    <definedName name="ㄴㅇㅁㄴ" localSheetId="0" hidden="1">{#N/A,#N/A,FALSE,"현장 NCR 분석";#N/A,#N/A,FALSE,"현장품질감사";#N/A,#N/A,FALSE,"현장품질감사"}</definedName>
    <definedName name="ㄴㅇㅁㄴ" hidden="1">{#N/A,#N/A,FALSE,"현장 NCR 분석";#N/A,#N/A,FALSE,"현장품질감사";#N/A,#N/A,FALSE,"현장품질감사"}</definedName>
    <definedName name="나" localSheetId="0" hidden="1">{#N/A,#N/A,FALSE,"현장 NCR 분석";#N/A,#N/A,FALSE,"현장품질감사";#N/A,#N/A,FALSE,"현장품질감사"}</definedName>
    <definedName name="나" hidden="1">{#N/A,#N/A,FALSE,"현장 NCR 분석";#N/A,#N/A,FALSE,"현장품질감사";#N/A,#N/A,FALSE,"현장품질감사"}</definedName>
    <definedName name="난" localSheetId="0" hidden="1">{#N/A,#N/A,FALSE,"현장 NCR 분석";#N/A,#N/A,FALSE,"현장품질감사";#N/A,#N/A,FALSE,"현장품질감사"}</definedName>
    <definedName name="난" hidden="1">{#N/A,#N/A,FALSE,"현장 NCR 분석";#N/A,#N/A,FALSE,"현장품질감사";#N/A,#N/A,FALSE,"현장품질감사"}</definedName>
    <definedName name="ㄷ" localSheetId="0" hidden="1">{#N/A,#N/A,FALSE,"현장 NCR 분석";#N/A,#N/A,FALSE,"현장품질감사";#N/A,#N/A,FALSE,"현장품질감사"}</definedName>
    <definedName name="ㄷ" hidden="1">{#N/A,#N/A,FALSE,"현장 NCR 분석";#N/A,#N/A,FALSE,"현장품질감사";#N/A,#N/A,FALSE,"현장품질감사"}</definedName>
    <definedName name="ㄷㄳㄱ" localSheetId="0" hidden="1">{#N/A,#N/A,FALSE,"Sheet1"}</definedName>
    <definedName name="ㄷㄳㄱ" hidden="1">{#N/A,#N/A,FALSE,"Sheet1"}</definedName>
    <definedName name="단.산" localSheetId="0" hidden="1">{#N/A,#N/A,FALSE,"현장 NCR 분석";#N/A,#N/A,FALSE,"현장품질감사";#N/A,#N/A,FALSE,"현장품질감사"}</definedName>
    <definedName name="단.산" hidden="1">{#N/A,#N/A,FALSE,"현장 NCR 분석";#N/A,#N/A,FALSE,"현장품질감사";#N/A,#N/A,FALSE,"현장품질감사"}</definedName>
    <definedName name="단가비교" hidden="1">#REF!</definedName>
    <definedName name="동부" localSheetId="0" hidden="1">{#N/A,#N/A,FALSE,"현장 NCR 분석";#N/A,#N/A,FALSE,"현장품질감사";#N/A,#N/A,FALSE,"현장품질감사"}</definedName>
    <definedName name="동부" hidden="1">{#N/A,#N/A,FALSE,"현장 NCR 분석";#N/A,#N/A,FALSE,"현장품질감사";#N/A,#N/A,FALSE,"현장품질감사"}</definedName>
    <definedName name="두장" localSheetId="0" hidden="1">{#N/A,#N/A,FALSE,"운반시간"}</definedName>
    <definedName name="두장" hidden="1">{#N/A,#N/A,FALSE,"운반시간"}</definedName>
    <definedName name="ㄹㅇ" localSheetId="0" hidden="1">{#N/A,#N/A,FALSE,"현장 NCR 분석";#N/A,#N/A,FALSE,"현장품질감사";#N/A,#N/A,FALSE,"현장품질감사"}</definedName>
    <definedName name="ㄹㅇ" hidden="1">{#N/A,#N/A,FALSE,"현장 NCR 분석";#N/A,#N/A,FALSE,"현장품질감사";#N/A,#N/A,FALSE,"현장품질감사"}</definedName>
    <definedName name="ㄹ호" hidden="1">#REF!</definedName>
    <definedName name="라라" localSheetId="0" hidden="1">{#N/A,#N/A,FALSE,"현장 NCR 분석";#N/A,#N/A,FALSE,"현장품질감사";#N/A,#N/A,FALSE,"현장품질감사"}</definedName>
    <definedName name="라라" hidden="1">{#N/A,#N/A,FALSE,"현장 NCR 분석";#N/A,#N/A,FALSE,"현장품질감사";#N/A,#N/A,FALSE,"현장품질감사"}</definedName>
    <definedName name="라라라" localSheetId="0" hidden="1">{#N/A,#N/A,FALSE,"현장 NCR 분석";#N/A,#N/A,FALSE,"현장품질감사";#N/A,#N/A,FALSE,"현장품질감사"}</definedName>
    <definedName name="라라라" hidden="1">{#N/A,#N/A,FALSE,"현장 NCR 분석";#N/A,#N/A,FALSE,"현장품질감사";#N/A,#N/A,FALSE,"현장품질감사"}</definedName>
    <definedName name="ㅁㄴ" hidden="1">#REF!</definedName>
    <definedName name="ㅁㄴㅇㅁ" localSheetId="0" hidden="1">{#N/A,#N/A,FALSE,"현장 NCR 분석";#N/A,#N/A,FALSE,"현장품질감사";#N/A,#N/A,FALSE,"현장품질감사"}</definedName>
    <definedName name="ㅁㄴㅇㅁ" hidden="1">{#N/A,#N/A,FALSE,"현장 NCR 분석";#N/A,#N/A,FALSE,"현장품질감사";#N/A,#N/A,FALSE,"현장품질감사"}</definedName>
    <definedName name="ㅁㄴㅇㅈ" localSheetId="0" hidden="1">{#N/A,#N/A,FALSE,"현장 NCR 분석";#N/A,#N/A,FALSE,"현장품질감사";#N/A,#N/A,FALSE,"현장품질감사"}</definedName>
    <definedName name="ㅁㄴㅇㅈ" hidden="1">{#N/A,#N/A,FALSE,"현장 NCR 분석";#N/A,#N/A,FALSE,"현장품질감사";#N/A,#N/A,FALSE,"현장품질감사"}</definedName>
    <definedName name="ㅁㅁㅁ" localSheetId="0" hidden="1">{#N/A,#N/A,FALSE,"현장 NCR 분석";#N/A,#N/A,FALSE,"현장품질감사";#N/A,#N/A,FALSE,"현장품질감사"}</definedName>
    <definedName name="ㅁㅁㅁ" hidden="1">{#N/A,#N/A,FALSE,"현장 NCR 분석";#N/A,#N/A,FALSE,"현장품질감사";#N/A,#N/A,FALSE,"현장품질감사"}</definedName>
    <definedName name="ㅁㅁㅁㅁ" localSheetId="0" hidden="1">{#N/A,#N/A,FALSE,"단가표지"}</definedName>
    <definedName name="ㅁㅁㅁㅁ" hidden="1">{#N/A,#N/A,FALSE,"단가표지"}</definedName>
    <definedName name="ㅁㅁㅁㅁㅁㅁ" hidden="1">#REF!</definedName>
    <definedName name="ㅁㅁㅁㅁㅁㅁㅁㅁ" hidden="1">#REF!</definedName>
    <definedName name="ㅁㅇㅎ" localSheetId="0" hidden="1">{#N/A,#N/A,FALSE,"현장 NCR 분석";#N/A,#N/A,FALSE,"현장품질감사";#N/A,#N/A,FALSE,"현장품질감사"}</definedName>
    <definedName name="ㅁㅇㅎ" hidden="1">{#N/A,#N/A,FALSE,"현장 NCR 분석";#N/A,#N/A,FALSE,"현장품질감사";#N/A,#N/A,FALSE,"현장품질감사"}</definedName>
    <definedName name="몰라임마" localSheetId="0" hidden="1">{#N/A,#N/A,FALSE,"단가표지"}</definedName>
    <definedName name="몰라임마" hidden="1">{#N/A,#N/A,FALSE,"단가표지"}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산건설">#REF!</definedName>
    <definedName name="미실행" localSheetId="0" hidden="1">{#N/A,#N/A,FALSE,"현장 NCR 분석";#N/A,#N/A,FALSE,"현장품질감사";#N/A,#N/A,FALSE,"현장품질감사"}</definedName>
    <definedName name="미실행" hidden="1">{#N/A,#N/A,FALSE,"현장 NCR 분석";#N/A,#N/A,FALSE,"현장품질감사";#N/A,#N/A,FALSE,"현장품질감사"}</definedName>
    <definedName name="미실행1" localSheetId="0" hidden="1">{#N/A,#N/A,FALSE,"현장 NCR 분석";#N/A,#N/A,FALSE,"현장품질감사";#N/A,#N/A,FALSE,"현장품질감사"}</definedName>
    <definedName name="미실행1" hidden="1">{#N/A,#N/A,FALSE,"현장 NCR 분석";#N/A,#N/A,FALSE,"현장품질감사";#N/A,#N/A,FALSE,"현장품질감사"}</definedName>
    <definedName name="미실행2" localSheetId="0" hidden="1">{#N/A,#N/A,FALSE,"현장 NCR 분석";#N/A,#N/A,FALSE,"현장품질감사";#N/A,#N/A,FALSE,"현장품질감사"}</definedName>
    <definedName name="미실행2" hidden="1">{#N/A,#N/A,FALSE,"현장 NCR 분석";#N/A,#N/A,FALSE,"현장품질감사";#N/A,#N/A,FALSE,"현장품질감사"}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박원흠" localSheetId="0" hidden="1">{#N/A,#N/A,FALSE,"현장 NCR 분석";#N/A,#N/A,FALSE,"현장품질감사";#N/A,#N/A,FALSE,"현장품질감사"}</definedName>
    <definedName name="박원흠" hidden="1">{#N/A,#N/A,FALSE,"현장 NCR 분석";#N/A,#N/A,FALSE,"현장품질감사";#N/A,#N/A,FALSE,"현장품질감사"}</definedName>
    <definedName name="발견사항">#REF!</definedName>
    <definedName name="발주구분" localSheetId="0">#REF!</definedName>
    <definedName name="발주구분">#REF!</definedName>
    <definedName name="발주구분2" localSheetId="0">#REF!</definedName>
    <definedName name="발주구분2">#REF!</definedName>
    <definedName name="배" localSheetId="0" hidden="1">{#N/A,#N/A,FALSE,"현장 NCR 분석";#N/A,#N/A,FALSE,"현장품질감사";#N/A,#N/A,FALSE,"현장품질감사"}</definedName>
    <definedName name="배" hidden="1">{#N/A,#N/A,FALSE,"현장 NCR 분석";#N/A,#N/A,FALSE,"현장품질감사";#N/A,#N/A,FALSE,"현장품질감사"}</definedName>
    <definedName name="보고" localSheetId="0" hidden="1">{#N/A,#N/A,FALSE,"현장 NCR 분석";#N/A,#N/A,FALSE,"현장품질감사";#N/A,#N/A,FALSE,"현장품질감사"}</definedName>
    <definedName name="보고" hidden="1">{#N/A,#N/A,FALSE,"현장 NCR 분석";#N/A,#N/A,FALSE,"현장품질감사";#N/A,#N/A,FALSE,"현장품질감사"}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불안전상태">#REF!</definedName>
    <definedName name="불안전한상태">[3]Sheet1!$B$12:$B$20</definedName>
    <definedName name="불안전한행동">[3]Sheet1!$B$1:$B$9</definedName>
    <definedName name="비계">#REF!</definedName>
    <definedName name="뻐꾹새" localSheetId="0" hidden="1">{#N/A,#N/A,FALSE,"현장 NCR 분석";#N/A,#N/A,FALSE,"현장품질감사";#N/A,#N/A,FALSE,"현장품질감사"}</definedName>
    <definedName name="뻐꾹새" hidden="1">{#N/A,#N/A,FALSE,"현장 NCR 분석";#N/A,#N/A,FALSE,"현장품질감사";#N/A,#N/A,FALSE,"현장품질감사"}</definedName>
    <definedName name="사" hidden="1">#REF!</definedName>
    <definedName name="사고종류">[3]Sheet1!$N$8:$N$9</definedName>
    <definedName name="사고처리">[3]Sheet1!$N$11:$N$14</definedName>
    <definedName name="사업부">#REF!</definedName>
    <definedName name="사업부별" localSheetId="0" hidden="1">{#N/A,#N/A,FALSE,"현장 NCR 분석";#N/A,#N/A,FALSE,"현장품질감사";#N/A,#N/A,FALSE,"현장품질감사"}</definedName>
    <definedName name="사업부별" hidden="1">{#N/A,#N/A,FALSE,"현장 NCR 분석";#N/A,#N/A,FALSE,"현장품질감사";#N/A,#N/A,FALSE,"현장품질감사"}</definedName>
    <definedName name="사업부별로" localSheetId="0" hidden="1">{#N/A,#N/A,FALSE,"현장 NCR 분석";#N/A,#N/A,FALSE,"현장품질감사";#N/A,#N/A,FALSE,"현장품질감사"}</definedName>
    <definedName name="사업부별로" hidden="1">{#N/A,#N/A,FALSE,"현장 NCR 분석";#N/A,#N/A,FALSE,"현장품질감사";#N/A,#N/A,FALSE,"현장품질감사"}</definedName>
    <definedName name="산근5" localSheetId="0" hidden="1">{#N/A,#N/A,FALSE,"현장 NCR 분석";#N/A,#N/A,FALSE,"현장품질감사";#N/A,#N/A,FALSE,"현장품질감사"}</definedName>
    <definedName name="산근5" hidden="1">{#N/A,#N/A,FALSE,"현장 NCR 분석";#N/A,#N/A,FALSE,"현장품질감사";#N/A,#N/A,FALSE,"현장품질감사"}</definedName>
    <definedName name="삼수내역" localSheetId="0" hidden="1">{#N/A,#N/A,FALSE,"현장 NCR 분석";#N/A,#N/A,FALSE,"현장품질감사";#N/A,#N/A,FALSE,"현장품질감사"}</definedName>
    <definedName name="삼수내역" hidden="1">{#N/A,#N/A,FALSE,"현장 NCR 분석";#N/A,#N/A,FALSE,"현장품질감사";#N/A,#N/A,FALSE,"현장품질감사"}</definedName>
    <definedName name="상품">#REF!</definedName>
    <definedName name="상해부위">[3]Sheet1!$F$17:$F$30</definedName>
    <definedName name="상해종류">[3]Sheet1!$J$1:$J$12</definedName>
    <definedName name="선금" localSheetId="0" hidden="1">{#N/A,#N/A,FALSE,"현장 NCR 분석";#N/A,#N/A,FALSE,"현장품질감사";#N/A,#N/A,FALSE,"현장품질감사"}</definedName>
    <definedName name="선금" hidden="1">{#N/A,#N/A,FALSE,"현장 NCR 분석";#N/A,#N/A,FALSE,"현장품질감사";#N/A,#N/A,FALSE,"현장품질감사"}</definedName>
    <definedName name="설명서" localSheetId="0" hidden="1">{#N/A,#N/A,FALSE,"현장 NCR 분석";#N/A,#N/A,FALSE,"현장품질감사";#N/A,#N/A,FALSE,"현장품질감사"}</definedName>
    <definedName name="설명서" hidden="1">{#N/A,#N/A,FALSE,"현장 NCR 분석";#N/A,#N/A,FALSE,"현장품질감사";#N/A,#N/A,FALSE,"현장품질감사"}</definedName>
    <definedName name="설비원가집계표" hidden="1">#REF!</definedName>
    <definedName name="수로철근" hidden="1">#REF!</definedName>
    <definedName name="수정" localSheetId="0" hidden="1">{#N/A,#N/A,FALSE,"단가표지"}</definedName>
    <definedName name="수정" hidden="1">{#N/A,#N/A,FALSE,"단가표지"}</definedName>
    <definedName name="수주계획" hidden="1">#REF!</definedName>
    <definedName name="시스템">#REF!</definedName>
    <definedName name="시행" localSheetId="0" hidden="1">{#N/A,#N/A,FALSE,"현장 NCR 분석";#N/A,#N/A,FALSE,"현장품질감사";#N/A,#N/A,FALSE,"현장품질감사"}</definedName>
    <definedName name="시행" hidden="1">{#N/A,#N/A,FALSE,"현장 NCR 분석";#N/A,#N/A,FALSE,"현장품질감사";#N/A,#N/A,FALSE,"현장품질감사"}</definedName>
    <definedName name="실행예산서" localSheetId="0" hidden="1">{#N/A,#N/A,FALSE,"현장 NCR 분석";#N/A,#N/A,FALSE,"현장품질감사";#N/A,#N/A,FALSE,"현장품질감사"}</definedName>
    <definedName name="실행예산서" hidden="1">{#N/A,#N/A,FALSE,"현장 NCR 분석";#N/A,#N/A,FALSE,"현장품질감사";#N/A,#N/A,FALSE,"현장품질감사"}</definedName>
    <definedName name="실행율">[4]Sheet1!$A$14:$A$21</definedName>
    <definedName name="ㅇ">[5]Sheet1!$A$1:$A$5</definedName>
    <definedName name="ㅇㄴㄹ" localSheetId="0" hidden="1">{#N/A,#N/A,FALSE,"CAM-G7";#N/A,#N/A,FALSE,"SPL";#N/A,#N/A,FALSE,"butt-in G7";#N/A,#N/A,FALSE,"dia-in G7";#N/A,#N/A,FALSE,"추가-STA G7"}</definedName>
    <definedName name="ㅇㄴㄹ" hidden="1">{#N/A,#N/A,FALSE,"CAM-G7";#N/A,#N/A,FALSE,"SPL";#N/A,#N/A,FALSE,"butt-in G7";#N/A,#N/A,FALSE,"dia-in G7";#N/A,#N/A,FALSE,"추가-STA G7"}</definedName>
    <definedName name="ㅇㄴㄻㄹㄹㄴㄹㄴ" hidden="1">#REF!</definedName>
    <definedName name="ㅇㄴㅇㄻㄴㅇㄻㄴㄹㄴ" hidden="1">#REF!</definedName>
    <definedName name="ㅇㄹ" hidden="1">#REF!</definedName>
    <definedName name="ㅇㅇ" localSheetId="0" hidden="1">{#N/A,#N/A,FALSE,"CAM-G7";#N/A,#N/A,FALSE,"SPL";#N/A,#N/A,FALSE,"butt-in G7";#N/A,#N/A,FALSE,"dia-in G7";#N/A,#N/A,FALSE,"추가-STA G7"}</definedName>
    <definedName name="ㅇㅇ" hidden="1">{#N/A,#N/A,FALSE,"CAM-G7";#N/A,#N/A,FALSE,"SPL";#N/A,#N/A,FALSE,"butt-in G7";#N/A,#N/A,FALSE,"dia-in G7";#N/A,#N/A,FALSE,"추가-STA G7"}</definedName>
    <definedName name="ㅇㅇㅇ" localSheetId="0" hidden="1">{#N/A,#N/A,FALSE,"현장 NCR 분석";#N/A,#N/A,FALSE,"현장품질감사";#N/A,#N/A,FALSE,"현장품질감사"}</definedName>
    <definedName name="ㅇㅇㅇ" hidden="1">{#N/A,#N/A,FALSE,"현장 NCR 분석";#N/A,#N/A,FALSE,"현장품질감사";#N/A,#N/A,FALSE,"현장품질감사"}</definedName>
    <definedName name="ㅇㅇㅇㅇㅇ" hidden="1">#REF!</definedName>
    <definedName name="ㅇㅇㅇㅇㅇㅇㅇㅇㅇ" hidden="1">#REF!</definedName>
    <definedName name="아" localSheetId="0" hidden="1">{#N/A,#N/A,FALSE,"현장 NCR 분석";#N/A,#N/A,FALSE,"현장품질감사";#N/A,#N/A,FALSE,"현장품질감사"}</definedName>
    <definedName name="아" hidden="1">{#N/A,#N/A,FALSE,"현장 NCR 분석";#N/A,#N/A,FALSE,"현장품질감사";#N/A,#N/A,FALSE,"현장품질감사"}</definedName>
    <definedName name="안전점검보고서" hidden="1">[6]토목주소!#REF!</definedName>
    <definedName name="어오" localSheetId="0" hidden="1">{#N/A,#N/A,FALSE,"현장 NCR 분석";#N/A,#N/A,FALSE,"현장품질감사";#N/A,#N/A,FALSE,"현장품질감사"}</definedName>
    <definedName name="어오" hidden="1">{#N/A,#N/A,FALSE,"현장 NCR 분석";#N/A,#N/A,FALSE,"현장품질감사";#N/A,#N/A,FALSE,"현장품질감사"}</definedName>
    <definedName name="억이상" localSheetId="0" hidden="1">{#N/A,#N/A,FALSE,"2~8번"}</definedName>
    <definedName name="억이상" hidden="1">{#N/A,#N/A,FALSE,"2~8번"}</definedName>
    <definedName name="업체" hidden="1">#REF!</definedName>
    <definedName name="엔지니어링">#REF!</definedName>
    <definedName name="원가" localSheetId="0" hidden="1">{#N/A,#N/A,FALSE,"운반시간"}</definedName>
    <definedName name="원가" hidden="1">{#N/A,#N/A,FALSE,"운반시간"}</definedName>
    <definedName name="월별" localSheetId="0" hidden="1">{#N/A,#N/A,FALSE,"현장 NCR 분석";#N/A,#N/A,FALSE,"현장품질감사";#N/A,#N/A,FALSE,"현장품질감사"}</definedName>
    <definedName name="월별" hidden="1">{#N/A,#N/A,FALSE,"현장 NCR 분석";#N/A,#N/A,FALSE,"현장품질감사";#N/A,#N/A,FALSE,"현장품질감사"}</definedName>
    <definedName name="월별계획" localSheetId="0" hidden="1">{#N/A,#N/A,FALSE,"현장 NCR 분석";#N/A,#N/A,FALSE,"현장품질감사";#N/A,#N/A,FALSE,"현장품질감사"}</definedName>
    <definedName name="월별계획" hidden="1">{#N/A,#N/A,FALSE,"현장 NCR 분석";#N/A,#N/A,FALSE,"현장품질감사";#N/A,#N/A,FALSE,"현장품질감사"}</definedName>
    <definedName name="월별분양" localSheetId="0" hidden="1">{#N/A,#N/A,FALSE,"현장 NCR 분석";#N/A,#N/A,FALSE,"현장품질감사";#N/A,#N/A,FALSE,"현장품질감사"}</definedName>
    <definedName name="월별분양" hidden="1">{#N/A,#N/A,FALSE,"현장 NCR 분석";#N/A,#N/A,FALSE,"현장품질감사";#N/A,#N/A,FALSE,"현장품질감사"}</definedName>
    <definedName name="위험작업2">#REF!</definedName>
    <definedName name="유해위험물질">#REF!</definedName>
    <definedName name="유형">#REF!</definedName>
    <definedName name="의" localSheetId="0" hidden="1">{#N/A,#N/A,FALSE,"운반시간"}</definedName>
    <definedName name="의" hidden="1">{#N/A,#N/A,FALSE,"운반시간"}</definedName>
    <definedName name="이영" localSheetId="0" hidden="1">{#N/A,#N/A,FALSE,"골재소요량";#N/A,#N/A,FALSE,"골재소요량"}</definedName>
    <definedName name="이영" hidden="1">{#N/A,#N/A,FALSE,"골재소요량";#N/A,#N/A,FALSE,"골재소요량"}</definedName>
    <definedName name="인원투" localSheetId="0" hidden="1">{#N/A,#N/A,FALSE,"현장 NCR 분석";#N/A,#N/A,FALSE,"현장품질감사";#N/A,#N/A,FALSE,"현장품질감사"}</definedName>
    <definedName name="인원투" hidden="1">{#N/A,#N/A,FALSE,"현장 NCR 분석";#N/A,#N/A,FALSE,"현장품질감사";#N/A,#N/A,FALSE,"현장품질감사"}</definedName>
    <definedName name="인원투입" localSheetId="0" hidden="1">{#N/A,#N/A,FALSE,"현장 NCR 분석";#N/A,#N/A,FALSE,"현장품질감사";#N/A,#N/A,FALSE,"현장품질감사"}</definedName>
    <definedName name="인원투입" hidden="1">{#N/A,#N/A,FALSE,"현장 NCR 분석";#N/A,#N/A,FALSE,"현장품질감사";#N/A,#N/A,FALSE,"현장품질감사"}</definedName>
    <definedName name="인천" localSheetId="0" hidden="1">{#N/A,#N/A,FALSE,"현장 NCR 분석";#N/A,#N/A,FALSE,"현장품질감사";#N/A,#N/A,FALSE,"현장품질감사"}</definedName>
    <definedName name="인천" hidden="1">{#N/A,#N/A,FALSE,"현장 NCR 분석";#N/A,#N/A,FALSE,"현장품질감사";#N/A,#N/A,FALSE,"현장품질감사"}</definedName>
    <definedName name="인천1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ㅈ" localSheetId="0" hidden="1">{#N/A,#N/A,FALSE,"현장 NCR 분석";#N/A,#N/A,FALSE,"현장품질감사";#N/A,#N/A,FALSE,"현장품질감사"}</definedName>
    <definedName name="ㅈ" hidden="1">{#N/A,#N/A,FALSE,"현장 NCR 분석";#N/A,#N/A,FALSE,"현장품질감사";#N/A,#N/A,FALSE,"현장품질감사"}</definedName>
    <definedName name="ㅈㄷㄱ" localSheetId="0" hidden="1">{#N/A,#N/A,FALSE,"현장 NCR 분석";#N/A,#N/A,FALSE,"현장품질감사";#N/A,#N/A,FALSE,"현장품질감사"}</definedName>
    <definedName name="ㅈㄷㄱ" hidden="1">{#N/A,#N/A,FALSE,"현장 NCR 분석";#N/A,#N/A,FALSE,"현장품질감사";#N/A,#N/A,FALSE,"현장품질감사"}</definedName>
    <definedName name="ㅈㄷㄳ" localSheetId="0" hidden="1">{#N/A,#N/A,FALSE,"현장 NCR 분석";#N/A,#N/A,FALSE,"현장품질감사";#N/A,#N/A,FALSE,"현장품질감사"}</definedName>
    <definedName name="ㅈㄷㄳ" hidden="1">{#N/A,#N/A,FALSE,"현장 NCR 분석";#N/A,#N/A,FALSE,"현장품질감사";#N/A,#N/A,FALSE,"현장품질감사"}</definedName>
    <definedName name="ㅈㄷㄹ" localSheetId="0" hidden="1">{#N/A,#N/A,FALSE,"현장 NCR 분석";#N/A,#N/A,FALSE,"현장품질감사";#N/A,#N/A,FALSE,"현장품질감사"}</definedName>
    <definedName name="ㅈㄷㄹ" hidden="1">{#N/A,#N/A,FALSE,"현장 NCR 분석";#N/A,#N/A,FALSE,"현장품질감사";#N/A,#N/A,FALSE,"현장품질감사"}</definedName>
    <definedName name="자재_구조물">#REF!</definedName>
    <definedName name="자재요약" localSheetId="0" hidden="1">{#N/A,#N/A,FALSE,"현장 NCR 분석";#N/A,#N/A,FALSE,"현장품질감사";#N/A,#N/A,FALSE,"현장품질감사"}</definedName>
    <definedName name="자재요약" hidden="1">{#N/A,#N/A,FALSE,"현장 NCR 분석";#N/A,#N/A,FALSE,"현장품질감사";#N/A,#N/A,FALSE,"현장품질감사"}</definedName>
    <definedName name="작업발판">#REF!</definedName>
    <definedName name="재해형태">[3]Sheet1!$F$1:$F$15</definedName>
    <definedName name="전라선" localSheetId="0" hidden="1">{#N/A,#N/A,FALSE,"현장 NCR 분석";#N/A,#N/A,FALSE,"현장품질감사";#N/A,#N/A,FALSE,"현장품질감사"}</definedName>
    <definedName name="전라선" hidden="1">{#N/A,#N/A,FALSE,"현장 NCR 분석";#N/A,#N/A,FALSE,"현장품질감사";#N/A,#N/A,FALSE,"현장품질감사"}</definedName>
    <definedName name="전장하">[2]Sheet1!$B$2:$B$12</definedName>
    <definedName name="점검유형">[2]Sheet1!$C$2:$C$8</definedName>
    <definedName name="정손익" localSheetId="0" hidden="1">{#N/A,#N/A,FALSE,"현장 NCR 분석";#N/A,#N/A,FALSE,"현장품질감사";#N/A,#N/A,FALSE,"현장품질감사"}</definedName>
    <definedName name="정손익" hidden="1">{#N/A,#N/A,FALSE,"현장 NCR 분석";#N/A,#N/A,FALSE,"현장품질감사";#N/A,#N/A,FALSE,"현장품질감사"}</definedName>
    <definedName name="제일모직">#REF!</definedName>
    <definedName name="조정1" hidden="1">#REF!</definedName>
    <definedName name="진해" hidden="1">#REF!</definedName>
    <definedName name="쪼까고있네" localSheetId="0" hidden="1">{#N/A,#N/A,FALSE,"토공2"}</definedName>
    <definedName name="쪼까고있네" hidden="1">{#N/A,#N/A,FALSE,"토공2"}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화" localSheetId="0" hidden="1">{#N/A,#N/A,FALSE,"혼합골재"}</definedName>
    <definedName name="창화" hidden="1">{#N/A,#N/A,FALSE,"혼합골재"}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청라" localSheetId="0" hidden="1">{#N/A,#N/A,FALSE,"현장 NCR 분석";#N/A,#N/A,FALSE,"현장품질감사";#N/A,#N/A,FALSE,"현장품질감사"}</definedName>
    <definedName name="청라" hidden="1">{#N/A,#N/A,FALSE,"현장 NCR 분석";#N/A,#N/A,FALSE,"현장품질감사";#N/A,#N/A,FALSE,"현장품질감사"}</definedName>
    <definedName name="체크리스트" localSheetId="0" hidden="1">{#N/A,#N/A,FALSE,"현장 NCR 분석";#N/A,#N/A,FALSE,"현장품질감사";#N/A,#N/A,FALSE,"현장품질감사"}</definedName>
    <definedName name="체크리스트" hidden="1">{#N/A,#N/A,FALSE,"현장 NCR 분석";#N/A,#N/A,FALSE,"현장품질감사";#N/A,#N/A,FALSE,"현장품질감사"}</definedName>
    <definedName name="총괄표3" localSheetId="0" hidden="1">{#N/A,#N/A,FALSE,"현장 NCR 분석";#N/A,#N/A,FALSE,"현장품질감사";#N/A,#N/A,FALSE,"현장품질감사"}</definedName>
    <definedName name="총괄표3" hidden="1">{#N/A,#N/A,FALSE,"현장 NCR 분석";#N/A,#N/A,FALSE,"현장품질감사";#N/A,#N/A,FALSE,"현장품질감사"}</definedName>
    <definedName name="취수탑" localSheetId="0" hidden="1">{#N/A,#N/A,FALSE,"현장 NCR 분석";#N/A,#N/A,FALSE,"현장품질감사";#N/A,#N/A,FALSE,"현장품질감사"}</definedName>
    <definedName name="취수탑" hidden="1">{#N/A,#N/A,FALSE,"현장 NCR 분석";#N/A,#N/A,FALSE,"현장품질감사";#N/A,#N/A,FALSE,"현장품질감사"}</definedName>
    <definedName name="취수탑2" localSheetId="0" hidden="1">{#N/A,#N/A,FALSE,"현장 NCR 분석";#N/A,#N/A,FALSE,"현장품질감사";#N/A,#N/A,FALSE,"현장품질감사"}</definedName>
    <definedName name="취수탑2" hidden="1">{#N/A,#N/A,FALSE,"현장 NCR 분석";#N/A,#N/A,FALSE,"현장품질감사";#N/A,#N/A,FALSE,"현장품질감사"}</definedName>
    <definedName name="타사손익" localSheetId="0" hidden="1">{#N/A,#N/A,FALSE,"현장 NCR 분석";#N/A,#N/A,FALSE,"현장품질감사";#N/A,#N/A,FALSE,"현장품질감사"}</definedName>
    <definedName name="타사손익" hidden="1">{#N/A,#N/A,FALSE,"현장 NCR 분석";#N/A,#N/A,FALSE,"현장품질감사";#N/A,#N/A,FALSE,"현장품질감사"}</definedName>
    <definedName name="타사손익1" localSheetId="0" hidden="1">{#N/A,#N/A,FALSE,"현장 NCR 분석";#N/A,#N/A,FALSE,"현장품질감사";#N/A,#N/A,FALSE,"현장품질감사"}</definedName>
    <definedName name="타사손익1" hidden="1">{#N/A,#N/A,FALSE,"현장 NCR 분석";#N/A,#N/A,FALSE,"현장품질감사";#N/A,#N/A,FALSE,"현장품질감사"}</definedName>
    <definedName name="테스트" hidden="1">#REF!</definedName>
    <definedName name="토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통로">#REF!</definedName>
    <definedName name="ㅍ" localSheetId="0" hidden="1">{#N/A,#N/A,FALSE,"현장 NCR 분석";#N/A,#N/A,FALSE,"현장품질감사";#N/A,#N/A,FALSE,"현장품질감사"}</definedName>
    <definedName name="ㅍ" hidden="1">{#N/A,#N/A,FALSE,"현장 NCR 분석";#N/A,#N/A,FALSE,"현장품질감사";#N/A,#N/A,FALSE,"현장품질감사"}</definedName>
    <definedName name="팔" hidden="1">#REF!</definedName>
    <definedName name="평가">[4]Sheet1!$A$25:$A$30</definedName>
    <definedName name="ㅎㄽ" localSheetId="0" hidden="1">{#N/A,#N/A,FALSE,"현장 NCR 분석";#N/A,#N/A,FALSE,"현장품질감사";#N/A,#N/A,FALSE,"현장품질감사"}</definedName>
    <definedName name="ㅎㄽ" hidden="1">{#N/A,#N/A,FALSE,"현장 NCR 분석";#N/A,#N/A,FALSE,"현장품질감사";#N/A,#N/A,FALSE,"현장품질감사"}</definedName>
    <definedName name="ㅎㅎ" hidden="1">#REF!</definedName>
    <definedName name="하도서류" localSheetId="0" hidden="1">{#N/A,#N/A,FALSE,"현장 NCR 분석";#N/A,#N/A,FALSE,"현장품질감사";#N/A,#N/A,FALSE,"현장품질감사"}</definedName>
    <definedName name="하도서류" hidden="1">{#N/A,#N/A,FALSE,"현장 NCR 분석";#N/A,#N/A,FALSE,"현장품질감사";#N/A,#N/A,FALSE,"현장품질감사"}</definedName>
    <definedName name="한" hidden="1">#REF!</definedName>
    <definedName name="해외">#REF!</definedName>
    <definedName name="현장명">#REF!</definedName>
    <definedName name="현장분류">[7]Sheet1!$K$296:$K$314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ㅓㅣ" localSheetId="0" hidden="1">{#N/A,#N/A,FALSE,"현장 NCR 분석";#N/A,#N/A,FALSE,"현장품질감사";#N/A,#N/A,FALSE,"현장품질감사"}</definedName>
    <definedName name="호ㅓㅣ" hidden="1">{#N/A,#N/A,FALSE,"현장 NCR 분석";#N/A,#N/A,FALSE,"현장품질감사";#N/A,#N/A,FALSE,"현장품질감사"}</definedName>
    <definedName name="ㅏㅏ" localSheetId="0" hidden="1">{#N/A,#N/A,FALSE,"현장 NCR 분석";#N/A,#N/A,FALSE,"현장품질감사";#N/A,#N/A,FALSE,"현장품질감사"}</definedName>
    <definedName name="ㅏㅏ" hidden="1">{#N/A,#N/A,FALSE,"현장 NCR 분석";#N/A,#N/A,FALSE,"현장품질감사";#N/A,#N/A,FALSE,"현장품질감사"}</definedName>
    <definedName name="ㅕ" localSheetId="0" hidden="1">{#N/A,#N/A,FALSE,"현장 NCR 분석";#N/A,#N/A,FALSE,"현장품질감사";#N/A,#N/A,FALSE,"현장품질감사"}</definedName>
    <definedName name="ㅕ" hidden="1">{#N/A,#N/A,FALSE,"현장 NCR 분석";#N/A,#N/A,FALSE,"현장품질감사";#N/A,#N/A,FALSE,"현장품질감사"}</definedName>
    <definedName name="ㅛ" localSheetId="0" hidden="1">{#N/A,#N/A,FALSE,"현장 NCR 분석";#N/A,#N/A,FALSE,"현장품질감사";#N/A,#N/A,FALSE,"현장품질감사"}</definedName>
    <definedName name="ㅛ" hidden="1">{#N/A,#N/A,FALSE,"현장 NCR 분석";#N/A,#N/A,FALSE,"현장품질감사";#N/A,#N/A,FALSE,"현장품질감사"}</definedName>
    <definedName name="ㅜㅜ" localSheetId="0" hidden="1">{#N/A,#N/A,FALSE,"현장 NCR 분석";#N/A,#N/A,FALSE,"현장품질감사";#N/A,#N/A,FALSE,"현장품질감사"}</definedName>
    <definedName name="ㅜㅜ" hidden="1">{#N/A,#N/A,FALSE,"현장 NCR 분석";#N/A,#N/A,FALSE,"현장품질감사";#N/A,#N/A,FALSE,"현장품질감사"}</definedName>
    <definedName name="ㅠㅠ" localSheetId="0" hidden="1">{#N/A,#N/A,FALSE,"현장 NCR 분석";#N/A,#N/A,FALSE,"현장품질감사";#N/A,#N/A,FALSE,"현장품질감사"}</definedName>
    <definedName name="ㅠㅠ" hidden="1">{#N/A,#N/A,FALSE,"현장 NCR 분석";#N/A,#N/A,FALSE,"현장품질감사";#N/A,#N/A,FALSE,"현장품질감사"}</definedName>
    <definedName name="ㅣㅣ" localSheetId="0" hidden="1">{#N/A,#N/A,FALSE,"현장 NCR 분석";#N/A,#N/A,FALSE,"현장품질감사";#N/A,#N/A,FALSE,"현장품질감사"}</definedName>
    <definedName name="ㅣㅣ" hidden="1">{#N/A,#N/A,FALSE,"현장 NCR 분석";#N/A,#N/A,FALSE,"현장품질감사";#N/A,#N/A,FALSE,"현장품질감사"}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2" l="1"/>
  <c r="I56" i="2"/>
  <c r="I55" i="2"/>
  <c r="M54" i="2"/>
  <c r="I53" i="2"/>
  <c r="I52" i="2"/>
  <c r="I51" i="2"/>
  <c r="I50" i="2"/>
  <c r="M49" i="2"/>
  <c r="H49" i="2"/>
  <c r="J53" i="2" s="1"/>
  <c r="I48" i="2"/>
  <c r="I47" i="2"/>
  <c r="H45" i="2" s="1"/>
  <c r="J46" i="2" s="1"/>
  <c r="I46" i="2"/>
  <c r="M45" i="2"/>
  <c r="I44" i="2"/>
  <c r="I43" i="2"/>
  <c r="I42" i="2"/>
  <c r="I41" i="2"/>
  <c r="M40" i="2"/>
  <c r="I39" i="2"/>
  <c r="I38" i="2" s="1"/>
  <c r="J38" i="2" s="1"/>
  <c r="M38" i="2"/>
  <c r="I37" i="2"/>
  <c r="I36" i="2"/>
  <c r="M35" i="2"/>
  <c r="I34" i="2"/>
  <c r="I33" i="2"/>
  <c r="I32" i="2"/>
  <c r="I31" i="2" s="1"/>
  <c r="J31" i="2" s="1"/>
  <c r="M31" i="2"/>
  <c r="I30" i="2"/>
  <c r="I29" i="2"/>
  <c r="I28" i="2"/>
  <c r="I27" i="2"/>
  <c r="I26" i="2"/>
  <c r="I25" i="2"/>
  <c r="M24" i="2"/>
  <c r="I23" i="2"/>
  <c r="H21" i="2" s="1"/>
  <c r="I22" i="2"/>
  <c r="M21" i="2"/>
  <c r="I20" i="2"/>
  <c r="I19" i="2"/>
  <c r="I18" i="2" s="1"/>
  <c r="J18" i="2" s="1"/>
  <c r="M18" i="2"/>
  <c r="I17" i="2"/>
  <c r="I16" i="2"/>
  <c r="I15" i="2" s="1"/>
  <c r="J15" i="2" s="1"/>
  <c r="M15" i="2"/>
  <c r="I14" i="2"/>
  <c r="I13" i="2"/>
  <c r="I12" i="2"/>
  <c r="I11" i="2"/>
  <c r="M10" i="2"/>
  <c r="I9" i="2"/>
  <c r="I8" i="2"/>
  <c r="I7" i="2"/>
  <c r="I6" i="2" s="1"/>
  <c r="M6" i="2"/>
  <c r="M4" i="2"/>
  <c r="I1" i="2"/>
  <c r="M107" i="1"/>
  <c r="I106" i="1"/>
  <c r="I105" i="1"/>
  <c r="I104" i="1"/>
  <c r="I103" i="1"/>
  <c r="I102" i="1" s="1"/>
  <c r="J102" i="1" s="1"/>
  <c r="M102" i="1"/>
  <c r="I101" i="1"/>
  <c r="I100" i="1"/>
  <c r="I99" i="1"/>
  <c r="I98" i="1"/>
  <c r="M97" i="1"/>
  <c r="I96" i="1"/>
  <c r="I95" i="1"/>
  <c r="I94" i="1"/>
  <c r="I93" i="1"/>
  <c r="I92" i="1"/>
  <c r="I90" i="1" s="1"/>
  <c r="J90" i="1" s="1"/>
  <c r="I91" i="1"/>
  <c r="M90" i="1"/>
  <c r="I89" i="1"/>
  <c r="I88" i="1"/>
  <c r="I87" i="1"/>
  <c r="I86" i="1"/>
  <c r="I85" i="1"/>
  <c r="M84" i="1"/>
  <c r="I83" i="1"/>
  <c r="I82" i="1"/>
  <c r="I81" i="1"/>
  <c r="I80" i="1"/>
  <c r="I79" i="1"/>
  <c r="I78" i="1"/>
  <c r="I77" i="1"/>
  <c r="I76" i="1"/>
  <c r="I75" i="1"/>
  <c r="I74" i="1"/>
  <c r="M73" i="1"/>
  <c r="I72" i="1"/>
  <c r="I71" i="1"/>
  <c r="I70" i="1"/>
  <c r="I69" i="1"/>
  <c r="I68" i="1"/>
  <c r="I67" i="1"/>
  <c r="I66" i="1"/>
  <c r="I65" i="1"/>
  <c r="M64" i="1"/>
  <c r="H64" i="1"/>
  <c r="J72" i="1" s="1"/>
  <c r="I63" i="1"/>
  <c r="I62" i="1"/>
  <c r="I61" i="1"/>
  <c r="I60" i="1"/>
  <c r="I59" i="1"/>
  <c r="I58" i="1"/>
  <c r="I57" i="1"/>
  <c r="I56" i="1"/>
  <c r="I55" i="1"/>
  <c r="I54" i="1"/>
  <c r="I53" i="1"/>
  <c r="M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M36" i="1"/>
  <c r="I35" i="1"/>
  <c r="I34" i="1"/>
  <c r="I33" i="1"/>
  <c r="I32" i="1"/>
  <c r="I31" i="1"/>
  <c r="I30" i="1"/>
  <c r="M29" i="1"/>
  <c r="I28" i="1"/>
  <c r="I27" i="1"/>
  <c r="I26" i="1"/>
  <c r="I25" i="1"/>
  <c r="I24" i="1"/>
  <c r="I23" i="1"/>
  <c r="I22" i="1"/>
  <c r="I21" i="1"/>
  <c r="H20" i="1" s="1"/>
  <c r="J26" i="1" s="1"/>
  <c r="M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M5" i="1"/>
  <c r="J71" i="1" l="1"/>
  <c r="J16" i="1"/>
  <c r="J23" i="1"/>
  <c r="J70" i="1"/>
  <c r="H18" i="2"/>
  <c r="J20" i="2" s="1"/>
  <c r="I35" i="2"/>
  <c r="J35" i="2" s="1"/>
  <c r="J50" i="2"/>
  <c r="J51" i="2"/>
  <c r="J10" i="1"/>
  <c r="J18" i="1"/>
  <c r="J25" i="1"/>
  <c r="J95" i="1"/>
  <c r="I21" i="2"/>
  <c r="J21" i="2" s="1"/>
  <c r="J52" i="2"/>
  <c r="J12" i="1"/>
  <c r="J27" i="1"/>
  <c r="J66" i="1"/>
  <c r="I97" i="1"/>
  <c r="J97" i="1" s="1"/>
  <c r="J47" i="2"/>
  <c r="J11" i="1"/>
  <c r="J65" i="1"/>
  <c r="H5" i="1"/>
  <c r="J19" i="1" s="1"/>
  <c r="M4" i="1"/>
  <c r="J67" i="1"/>
  <c r="H15" i="2"/>
  <c r="J17" i="2" s="1"/>
  <c r="I24" i="2"/>
  <c r="J24" i="2" s="1"/>
  <c r="H31" i="2"/>
  <c r="J32" i="2" s="1"/>
  <c r="H40" i="2"/>
  <c r="J42" i="2" s="1"/>
  <c r="J48" i="2"/>
  <c r="I54" i="2"/>
  <c r="J54" i="2" s="1"/>
  <c r="J96" i="1"/>
  <c r="J14" i="1"/>
  <c r="J21" i="1"/>
  <c r="I52" i="1"/>
  <c r="J52" i="1" s="1"/>
  <c r="J7" i="1"/>
  <c r="J69" i="1"/>
  <c r="H90" i="1"/>
  <c r="J93" i="1" s="1"/>
  <c r="H97" i="1"/>
  <c r="J100" i="1" s="1"/>
  <c r="J6" i="2"/>
  <c r="J34" i="2"/>
  <c r="I49" i="2"/>
  <c r="J49" i="2" s="1"/>
  <c r="H10" i="2"/>
  <c r="J12" i="2" s="1"/>
  <c r="J16" i="2"/>
  <c r="J22" i="2"/>
  <c r="I45" i="2"/>
  <c r="J45" i="2" s="1"/>
  <c r="J23" i="2"/>
  <c r="H24" i="2"/>
  <c r="J27" i="2" s="1"/>
  <c r="I40" i="2"/>
  <c r="J40" i="2" s="1"/>
  <c r="H6" i="2"/>
  <c r="J8" i="2" s="1"/>
  <c r="H35" i="2"/>
  <c r="H38" i="2"/>
  <c r="J39" i="2" s="1"/>
  <c r="H54" i="2"/>
  <c r="J56" i="2" s="1"/>
  <c r="J78" i="1"/>
  <c r="J32" i="1"/>
  <c r="J94" i="1"/>
  <c r="J105" i="1"/>
  <c r="J91" i="1"/>
  <c r="J98" i="1"/>
  <c r="H29" i="1"/>
  <c r="J30" i="1" s="1"/>
  <c r="J9" i="1"/>
  <c r="J17" i="1"/>
  <c r="J28" i="1"/>
  <c r="J68" i="1"/>
  <c r="H84" i="1"/>
  <c r="J86" i="1" s="1"/>
  <c r="I29" i="1"/>
  <c r="J29" i="1" s="1"/>
  <c r="I36" i="1"/>
  <c r="J36" i="1" s="1"/>
  <c r="I73" i="1"/>
  <c r="J73" i="1" s="1"/>
  <c r="H52" i="1"/>
  <c r="J60" i="1" s="1"/>
  <c r="H102" i="1"/>
  <c r="J103" i="1" s="1"/>
  <c r="J13" i="1"/>
  <c r="J24" i="1"/>
  <c r="H36" i="1"/>
  <c r="J39" i="1" s="1"/>
  <c r="H73" i="1"/>
  <c r="J81" i="1" s="1"/>
  <c r="I84" i="1"/>
  <c r="J84" i="1" s="1"/>
  <c r="J22" i="1"/>
  <c r="I5" i="1"/>
  <c r="I20" i="1"/>
  <c r="J20" i="1" s="1"/>
  <c r="I64" i="1"/>
  <c r="J64" i="1" s="1"/>
  <c r="J92" i="1"/>
  <c r="J99" i="1"/>
  <c r="J26" i="2" l="1"/>
  <c r="J33" i="2"/>
  <c r="J19" i="2"/>
  <c r="J43" i="2"/>
  <c r="J40" i="1"/>
  <c r="J55" i="2"/>
  <c r="J44" i="2"/>
  <c r="J8" i="1"/>
  <c r="J28" i="2"/>
  <c r="J15" i="1"/>
  <c r="J89" i="1"/>
  <c r="J34" i="1"/>
  <c r="J54" i="1"/>
  <c r="J41" i="1"/>
  <c r="J41" i="2"/>
  <c r="J101" i="1"/>
  <c r="J6" i="1"/>
  <c r="J43" i="1"/>
  <c r="J37" i="2"/>
  <c r="J36" i="2"/>
  <c r="J14" i="2"/>
  <c r="J11" i="2"/>
  <c r="J13" i="2"/>
  <c r="J7" i="2"/>
  <c r="J29" i="2"/>
  <c r="J9" i="2"/>
  <c r="H4" i="2"/>
  <c r="J57" i="2"/>
  <c r="J25" i="2"/>
  <c r="J30" i="2"/>
  <c r="J57" i="1"/>
  <c r="J53" i="1"/>
  <c r="J61" i="1"/>
  <c r="J49" i="1"/>
  <c r="J55" i="1"/>
  <c r="J59" i="1"/>
  <c r="J33" i="1"/>
  <c r="J35" i="1"/>
  <c r="J31" i="1"/>
  <c r="J47" i="1"/>
  <c r="J79" i="1"/>
  <c r="J83" i="1"/>
  <c r="J75" i="1"/>
  <c r="J85" i="1"/>
  <c r="J76" i="1"/>
  <c r="J58" i="1"/>
  <c r="J87" i="1"/>
  <c r="J104" i="1"/>
  <c r="J50" i="1"/>
  <c r="J42" i="1"/>
  <c r="J46" i="1"/>
  <c r="J38" i="1"/>
  <c r="J77" i="1"/>
  <c r="J45" i="1"/>
  <c r="J56" i="1"/>
  <c r="J74" i="1"/>
  <c r="H4" i="1"/>
  <c r="J62" i="1"/>
  <c r="J37" i="1"/>
  <c r="J80" i="1"/>
  <c r="J48" i="1"/>
  <c r="J51" i="1"/>
  <c r="J5" i="1"/>
  <c r="I4" i="1"/>
  <c r="J106" i="1"/>
  <c r="J44" i="1"/>
  <c r="J88" i="1"/>
  <c r="J63" i="1"/>
  <c r="J82" i="1"/>
  <c r="I10" i="2" l="1"/>
  <c r="J4" i="1"/>
  <c r="J10" i="2" l="1"/>
  <c r="I4" i="2"/>
  <c r="J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samsung</author>
  </authors>
  <commentList>
    <comment ref="D3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현재기준은 년간안전관리계획서 분야로 점검실시 
# 추후 매뉴얼 재공지시 개성사항으로 점검시행(16년 1월 공지 예정)
</t>
        </r>
      </text>
    </comment>
  </commentList>
</comments>
</file>

<file path=xl/sharedStrings.xml><?xml version="1.0" encoding="utf-8"?>
<sst xmlns="http://schemas.openxmlformats.org/spreadsheetml/2006/main" count="294" uniqueCount="236">
  <si>
    <t>■ 현장 Patrol분야 Check List</t>
    <phoneticPr fontId="6" type="noConversion"/>
  </si>
  <si>
    <t xml:space="preserve">■ 현장 명 : </t>
    <phoneticPr fontId="6" type="noConversion"/>
  </si>
  <si>
    <t>세부 평가항목</t>
    <phoneticPr fontId="6" type="noConversion"/>
  </si>
  <si>
    <t>평가등급</t>
    <phoneticPr fontId="6" type="noConversion"/>
  </si>
  <si>
    <t>배점</t>
    <phoneticPr fontId="6" type="noConversion"/>
  </si>
  <si>
    <t>평가</t>
    <phoneticPr fontId="6" type="noConversion"/>
  </si>
  <si>
    <t>환산평가</t>
    <phoneticPr fontId="6" type="noConversion"/>
  </si>
  <si>
    <t>평가내용</t>
    <phoneticPr fontId="6" type="noConversion"/>
  </si>
  <si>
    <t>현장 사고예방 실천 점수</t>
    <phoneticPr fontId="6" type="noConversion"/>
  </si>
  <si>
    <t>양호 : 90% 이상
보통 : 70% 이상
미흡 : 70% 미만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</si>
  <si>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추락재해</t>
    </r>
    <phoneticPr fontId="6" type="noConversion"/>
  </si>
  <si>
    <t>양호</t>
    <phoneticPr fontId="6" type="noConversion"/>
  </si>
  <si>
    <t>보통</t>
    <phoneticPr fontId="6" type="noConversion"/>
  </si>
  <si>
    <t>미흡</t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</si>
  <si>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1) 사다리 설치는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여장길이 60cm 이상 확보
    - 미끄럼방지조치(묶음 또는 아웃트리거 설치)
    - 고정식 사다리식 통로의 기울기는 90° 이하 유지
    - 고정식 사다리의 높이 7m이상인 경우 바닥에서 높이 2.5m되는 지점부터 등받이 울 설치
    - 사다리식 통로의 길이가 10m이상인 때에는 5m이내마다 계단참 설치
    - 이동식 사다리식 통로의 기울기는 75°이하 유지
    - 발판과 벽과의 사이는 15CM 이상의 간격유지, 폭은 30CM 이상으로 하며 발판의 간격은 일정할것
</t>
    </r>
    <r>
      <rPr>
        <sz val="10"/>
        <color rgb="FFFF0000"/>
        <rFont val="CJ ONLYONE NEW 본문 Light"/>
        <family val="3"/>
        <charset val="129"/>
      </rPr>
      <t xml:space="preserve">    - 고정형 수직사다리 4개소당 1개소 이상 안전블록 설치 여부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</si>
  <si>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2) 사다리 작업은 적절한가? (A형 작업용 사다리)</t>
    </r>
    <r>
      <rPr>
        <sz val="10"/>
        <color rgb="FFFF0000"/>
        <rFont val="CJ ONLYONE NEW 본문 Light"/>
        <family val="3"/>
        <charset val="129"/>
      </rPr>
      <t xml:space="preserve">
    - 상부 2단은 작업자가 사용 할 수 없도록 작업금지 표지 부착
    - 현장 내 사다리 허가제(사다리 사용 승인서) 실시 및 사다리 점검필증 관리</t>
    </r>
    <r>
      <rPr>
        <sz val="10"/>
        <color theme="1"/>
        <rFont val="CJ ONLYONE NEW 본문 Light"/>
        <family val="3"/>
        <charset val="129"/>
      </rPr>
      <t xml:space="preserve">
    - 발판높이 기준 3.5m 초과시 사다리 사용금지
    - 2인 1조 및 아웃트리거 설치, 사용시 접혀지거나 펼쳐지지 않도록 조치
    - 사다리 상부 작업시 안전벨트 걸이시설 확보 및 안전고리 체결
 </t>
    </r>
    <r>
      <rPr>
        <sz val="10"/>
        <color rgb="FFFF0000"/>
        <rFont val="CJ ONLYONE NEW 본문 Light"/>
        <family val="3"/>
        <charset val="129"/>
      </rPr>
      <t xml:space="preserve"> </t>
    </r>
    <r>
      <rPr>
        <sz val="10"/>
        <color theme="1"/>
        <rFont val="CJ ONLYONE NEW 본문 Light"/>
        <family val="3"/>
        <charset val="129"/>
      </rPr>
      <t xml:space="preserve">  - 안전 사다리 4.0m 사용 기준 준수여부- 작업발판 높이 기준(안전난간 및 방호울 포함) - 2인1조 제외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</si>
  <si>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3) 보호구는 착용은 적절한가?</t>
    </r>
    <r>
      <rPr>
        <sz val="10"/>
        <color theme="1"/>
        <rFont val="CJ ONLYONE NEW 본문 Light"/>
        <family val="3"/>
        <charset val="129"/>
      </rPr>
      <t xml:space="preserve">
    - 2m 이상 고소작업시 안전벨트를 걸고 작업(4m 이상 고소작업시 전체식 안전벨트 착용)
    - 추락 예방에 알맞은 안전모(A형 기능 반드시 포함), 턱끈 조임
</t>
    </r>
    <r>
      <rPr>
        <sz val="10"/>
        <color rgb="FFFF0000"/>
        <rFont val="CJ ONLYONE NEW 본문 Light"/>
        <family val="3"/>
        <charset val="129"/>
      </rPr>
      <t xml:space="preserve">    - 고소작업시 이동 등 안전고리를 상시로 걸고 있어야 하는 경우에는 안전고리가 2개 및 전체식 안전대를 사용하여 교대로 체결
       (철골, 비계, 데크, 시스템지보공 설치·해체 등)
    - 안전벨트 죔줄 카라비너 풀림방지 스티커 부착(월별)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</si>
  <si>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4) 고소 작업지역 승하강시설의 설치여부는 적정한가?(비계, 시스템 동바리, 시스템 비계, 시스템 거푸집 등)</t>
    </r>
    <r>
      <rPr>
        <sz val="10"/>
        <color rgb="FFFF0000"/>
        <rFont val="CJ ONLYONE NEW 본문 Light"/>
        <family val="3"/>
        <charset val="129"/>
      </rPr>
      <t xml:space="preserve">
    - 비계 설치시 근로자의 동선을 고려하여 계단식 승강 통로(가설 계단) 설치
    - 승강 통로는 30m 이내마다 설치, 계단 주변의 개구부에는 추락방지 조치</t>
    </r>
    <r>
      <rPr>
        <sz val="10"/>
        <color theme="1"/>
        <rFont val="CJ ONLYONE NEW 본문 Light"/>
        <family val="3"/>
        <charset val="129"/>
      </rPr>
      <t xml:space="preserve">
       작업여건상 장소가 협소하여 계단식 승강 통로를 설치할 수 없는 경우에는 수직이동 통로 설치
       (승강 통로 설치가 곤란할 경우에는 적절한 승강 대책 수립)
</t>
    </r>
    <r>
      <rPr>
        <b/>
        <sz val="10"/>
        <color rgb="FF0000FF"/>
        <rFont val="CJ ONLYONE NEW 본문 Light"/>
        <family val="3"/>
        <charset val="129"/>
      </rPr>
      <t xml:space="preserve"> </t>
    </r>
    <r>
      <rPr>
        <sz val="10"/>
        <color rgb="FF0000FF"/>
        <rFont val="CJ ONLYONE NEW 본문 Light"/>
        <family val="3"/>
        <charset val="129"/>
      </rPr>
      <t xml:space="preserve">   </t>
    </r>
    <r>
      <rPr>
        <sz val="10"/>
        <color rgb="FFFF0000"/>
        <rFont val="CJ ONLYONE NEW 본문 Light"/>
        <family val="3"/>
        <charset val="129"/>
      </rPr>
      <t>- B/T비계 2단 이상 조립시 내측으로 이동 할 수 있는 통로 설치</t>
    </r>
    <r>
      <rPr>
        <sz val="10"/>
        <color theme="1"/>
        <rFont val="CJ ONLYONE NEW 본문 Light"/>
        <family val="3"/>
        <charset val="129"/>
      </rPr>
      <t xml:space="preserve">
    - 식별이 용이하게 되어있고, 상시 폐쇄되어 관리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</si>
  <si>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5) 개구부 덮개는 기준대로 설치하는가?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</t>
    </r>
    <r>
      <rPr>
        <sz val="9"/>
        <color rgb="FFFF0000"/>
        <rFont val="CJ ONLYONE NEW 본문 Light"/>
        <family val="3"/>
        <charset val="129"/>
      </rPr>
      <t xml:space="preserve">- 개구부 최소폭 1m이상 시 </t>
    </r>
    <r>
      <rPr>
        <sz val="9"/>
        <color theme="1"/>
        <rFont val="CJ ONLYONE NEW 본문 Light"/>
        <family val="3"/>
        <charset val="129"/>
      </rPr>
      <t>안전난간 설치</t>
    </r>
    <r>
      <rPr>
        <sz val="9"/>
        <color rgb="FFFF0000"/>
        <rFont val="CJ ONLYONE NEW 본문 Light"/>
        <family val="3"/>
        <charset val="129"/>
      </rPr>
      <t>(시공이 불가할 경우 덮개 설치)</t>
    </r>
    <r>
      <rPr>
        <sz val="9"/>
        <color theme="1"/>
        <rFont val="CJ ONLYONE NEW 본문 Light"/>
        <family val="3"/>
        <charset val="129"/>
      </rPr>
      <t xml:space="preserve">, 난간상부에 추락·낙하 방지용 안전방망 설치
</t>
    </r>
    <r>
      <rPr>
        <sz val="9"/>
        <color rgb="FFFF0000"/>
        <rFont val="CJ ONLYONE NEW 본문 Light"/>
        <family val="3"/>
        <charset val="129"/>
      </rPr>
      <t xml:space="preserve">    - 메탈라스망 3.2T/앵글 4.5T/중간 앵글 덧댐 구조로 폭 40cm이하 유지, 그물코 2cm이하</t>
    </r>
    <r>
      <rPr>
        <sz val="9"/>
        <color theme="1"/>
        <rFont val="CJ ONLYONE NEW 본문 Light"/>
        <family val="3"/>
        <charset val="129"/>
      </rPr>
      <t xml:space="preserve">
    - 개구부주의 또는 추락위험 안내표시, </t>
    </r>
    <r>
      <rPr>
        <sz val="9"/>
        <rFont val="CJ ONLYONE NEW 본문 Light"/>
        <family val="3"/>
        <charset val="129"/>
      </rPr>
      <t>두께 12㎜ 이상의 합판 등 설치(합판을 활용할 경우 스토퍼설치 등 고정)</t>
    </r>
    <r>
      <rPr>
        <sz val="9"/>
        <color theme="1"/>
        <rFont val="CJ ONLYONE NEW 본문 Light"/>
        <family val="3"/>
        <charset val="129"/>
      </rPr>
      <t xml:space="preserve">
    - 엘리베이터 Pit 등 대형 개구부에 철근을 배근하여 작업발판 및 덮개로 사용하는 경우 직경13mm 이상의
       철근을 짧은변 기준 20cm간격 설치(옹벽구간 후크형 20CM 이상, 슬라브 구간 60CM 이상 매립)
    - 덮개는 뒤집히거나 떨어지지 않도록 설치
    - 어두운 장소 개구부의 식별가능 여부
    - 자재인상의 용도로 사용시 추락예방조치</t>
    </r>
    <r>
      <rPr>
        <sz val="9"/>
        <color rgb="FFFF0000"/>
        <rFont val="CJ ONLYONE NEW 본문 Light"/>
        <family val="3"/>
        <charset val="129"/>
      </rPr>
      <t>(안전난간+개폐식 안전망 설치)</t>
    </r>
    <r>
      <rPr>
        <sz val="9"/>
        <color theme="1"/>
        <rFont val="CJ ONLYONE NEW 본문 Light"/>
        <family val="3"/>
        <charset val="129"/>
      </rPr>
      <t xml:space="preserve"> 여부
    - 수직형추락방망 설치시 안전인증 획득제품 사용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</si>
  <si>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6) 안전난간 설치기준을 준수하는가?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>- 지주간격 2m 이내 설치, 가장 취약한 방향으로 100kg 하중을 견딤
    - 지름 2.7cm이상의 금속재 재질이상 또는 그이상의 강도 여부
    - 상부난간 90cm 이상~120cm 미만, 중간난간대는 상부난간과 바닥면사이 중간에 설치
    - 상부난간이 120cm 이상일경우 중간난간대는 60cm이하 간격으로 2열 설치
    - 비계의 중간 난간대는 비계의 내ㆍ외측에 모두 설치하거나 부득이하게 내측 미설치 시 추락방지용 생명줄 설치
       (단, 비계와 구조물 사이의 간격이 20㎝ 이하이며, 틈새에 추락방지망이 설치된 경우는 제외)
    - 안전난간 끝단부(기둥 또는 벽체 접합부)는 사람이 빠지지 않을정도의(약 10cm 내외) 간격을 유지</t>
    </r>
    <r>
      <rPr>
        <sz val="9"/>
        <color rgb="FFFF0000"/>
        <rFont val="CJ ONLYONE NEW 본문 Light"/>
        <family val="3"/>
        <charset val="129"/>
      </rPr>
      <t xml:space="preserve">
  </t>
    </r>
    <r>
      <rPr>
        <b/>
        <sz val="9"/>
        <color rgb="FFFF0000"/>
        <rFont val="CJ ONLYONE NEW 본문 Light"/>
        <family val="3"/>
        <charset val="129"/>
      </rPr>
      <t xml:space="preserve">  </t>
    </r>
    <r>
      <rPr>
        <sz val="9"/>
        <color rgb="FFFF0000"/>
        <rFont val="CJ ONLYONE NEW 본문 Light"/>
        <family val="3"/>
        <charset val="129"/>
      </rPr>
      <t>- 발끝막이판(10cm이상) 또는 안전망(낙하물방지망, PVC망 등) 설치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</si>
  <si>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7) 추락방지망은 적절하게 설치하는가?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color theme="1"/>
        <rFont val="CJ ONLYONE NEW 본문 Light"/>
        <family val="3"/>
        <charset val="129"/>
      </rPr>
      <t xml:space="preserve">   - 설치위치는 작업위치와 가까운 지점에 설치해야 하며, 추락방지망은 작업위치 10m 이내 설치
    - 테두리 로프 또는 매달기 로프는 15,000N 이상의 인장 강도 유지
    - 그물코 간격이 가로, 세로 10cm 이내 유지
    - 시스템 동바리에 추락방지망은 바닥면에서 2m되는 지점에 필수로 설치하고, 4m이내마다 추가로 설치
       (단, 작업발판 설치가 중첩되는 위치(지점)에는 추락방지망의 설치를 생략할 수 있음)
    - 비계와 구조물 사이의 틈새의 추락방지망은 4m이내마다 설치
    - 안전방망은 수평으로 설치하고, 망의 처짐은 짧은 변 길이의 12% 이상으로 설치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</si>
  <si>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8) 생명줄 설치는 적절한가?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color theme="1"/>
        <rFont val="CJ ONLYONE NEW 본문 Light"/>
        <family val="3"/>
        <charset val="129"/>
      </rPr>
      <t xml:space="preserve">   - 생명줄은 16㎜ 이상의 섬유로프 또는 동등한 강도 이상의 로프 사용(인장강도 2,340kgf 이상)
    - 안전대 부착설비로 생명줄 등을 설치하는 경우에는 처짐 및 풀림 방지 조치여부
    - 곤돌라 및 고소작업차(SKY), 외부로프 작업시 구조물에 수직생명줄 설치
    - 철골 생명줄 결속용 Post의 간격은 3m 이내로 설치
    - 철골 생명줄 결속용 Post는 견고한 재질(강관 파이프의 경우 굵기 3.2mm 이상)로 설치
    - 최하사점 이내 생명줄 설치시 별도의 안전벨트걸이시설 설치(흙막이 소단 등)
  </t>
    </r>
    <r>
      <rPr>
        <sz val="10"/>
        <color rgb="FFFF0000"/>
        <rFont val="CJ ONLYONE NEW 본문 Light"/>
        <family val="3"/>
        <charset val="129"/>
      </rPr>
      <t xml:space="preserve">  - 철골 수평재(보/거더 등) 끝단부 빔난간대와 철골 기둥과의 간격 20cm 이내 관리(안전대 걸이시설 틈새 20cm이내 관리)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</si>
  <si>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9) 말비계 작업은 적절하가?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9"/>
        <color rgb="FFFF0000"/>
        <rFont val="CJ ONLYONE NEW 본문 Light"/>
        <family val="3"/>
        <charset val="129"/>
      </rPr>
      <t xml:space="preserve"> </t>
    </r>
    <r>
      <rPr>
        <sz val="9"/>
        <color theme="1"/>
        <rFont val="CJ ONLYONE NEW 본문 Light"/>
        <family val="3"/>
        <charset val="129"/>
      </rPr>
      <t xml:space="preserve"> - 지주부재 하단에는 미끄럼 방지장치를 하고, 양쪽 끝부분에는 </t>
    </r>
    <r>
      <rPr>
        <sz val="9"/>
        <color rgb="FFFF0000"/>
        <rFont val="CJ ONLYONE NEW 본문 Light"/>
        <family val="3"/>
        <charset val="129"/>
      </rPr>
      <t>낙상경보기를 설치(발판 끝에서 15cm 안쪽 설치)</t>
    </r>
    <r>
      <rPr>
        <b/>
        <sz val="9"/>
        <color rgb="FFFF0000"/>
        <rFont val="CJ ONLYONE NEW 본문 Light"/>
        <family val="3"/>
        <charset val="129"/>
      </rPr>
      <t xml:space="preserve">
  </t>
    </r>
    <r>
      <rPr>
        <sz val="9"/>
        <color rgb="FFFF0000"/>
        <rFont val="CJ ONLYONE NEW 본문 Light"/>
        <family val="3"/>
        <charset val="129"/>
      </rPr>
      <t xml:space="preserve">  -</t>
    </r>
    <r>
      <rPr>
        <b/>
        <sz val="9"/>
        <color rgb="FFFF0000"/>
        <rFont val="CJ ONLYONE NEW 본문 Light"/>
        <family val="3"/>
        <charset val="129"/>
      </rPr>
      <t xml:space="preserve"> </t>
    </r>
    <r>
      <rPr>
        <sz val="9"/>
        <color rgb="FFFF0000"/>
        <rFont val="CJ ONLYONE NEW 본문 Light"/>
        <family val="3"/>
        <charset val="129"/>
      </rPr>
      <t xml:space="preserve">말비계의 높이는 1.2m 초과 시 사용금지
</t>
    </r>
    <r>
      <rPr>
        <sz val="9"/>
        <color theme="1"/>
        <rFont val="CJ ONLYONE NEW 본문 Light"/>
        <family val="3"/>
        <charset val="129"/>
      </rPr>
      <t xml:space="preserve">    - 작업발판의 폭은 40cm 이상 확보
    - 말비계는 흔들림이 없어야 하고, 다리와 발판이 견고히 고정, 발판 위에 스티로폼 등을 덧댐 금지, 벌어짐 방지 조치
    - 지주부재와 수평면의 기울기를 75도 이하로 하고, 지주부재와 지주부재 사이를 고정시키는 보조부재를 설치할 것
    - 벌어짐 방지 조치</t>
    </r>
    <phoneticPr fontId="6" type="noConversion"/>
  </si>
  <si>
    <t xml:space="preserve"> </t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</si>
  <si>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10) 달비계 작업은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달비계를 지지하는 매달기 로프는 최소3,660 kgf의 강도를 가진 섬유로프 사용(PP로프 직경 20mm 이상)
    - 작업용 로프나 생명줄은 절단이나 마모의 예방을 위한 보호 조치(패드, 방호관 등)
    - 로프의 결속은 단단히 조여서 풀리지 않도록 하고, 로프의 풀림방지를 위해 2중으로 결속
    - 안전대를 착용한 상태에서 매달기로프 및 생명줄을 내리고 로프가 지상바닥에 충분히 닫도록 길이 확인
    - 제3자에 의한 로프 풀림 등의 위험요인이 있으므로 로프 고정점 등에는 “작업 중” 표지 및 자물쇠 설치
    - 달비계에 탑승하기 전에 반드시 안전대를 착용
    - 추락방지대 사용시 체결방향 확인(거꾸로 체결여부 확인)
    - 섬유로프, 벨트는 꼬임이 끊어진 것 또는 심하게 손상되거나 부식된 것을 사용금지
    - 1,2차 지지점은 최대한 직선에 가깝도록 설치
    - 보조로프는 16mm 이상 사용</t>
    </r>
    <phoneticPr fontId="6" type="noConversion"/>
  </si>
  <si>
    <t xml:space="preserve"> </t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</si>
  <si>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11) 알루미늄 폼 슬라브 작업시 안전조치는 적절한가?</t>
    </r>
    <r>
      <rPr>
        <sz val="10"/>
        <color rgb="FFFF0000"/>
        <rFont val="CJ ONLYONE NEW 본문 Light"/>
        <family val="3"/>
        <charset val="129"/>
      </rPr>
      <t xml:space="preserve">
    </t>
    </r>
    <r>
      <rPr>
        <sz val="10"/>
        <color theme="1"/>
        <rFont val="CJ ONLYONE NEW 본문 Light"/>
        <family val="3"/>
        <charset val="129"/>
      </rPr>
      <t>- 슬라브 설치 작업 중에는 개구부로의 추락예방을 위해 상부 출입을 통제하고 작업중임을  표식
    - E/V PIT 및 계단실 등 추락방지 안전시설물 설치여부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</si>
  <si>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 xml:space="preserve">12) 시스템 동바리 작업은 적절한가?
</t>
    </r>
    <r>
      <rPr>
        <sz val="10"/>
        <color theme="1"/>
        <rFont val="CJ ONLYONE NEW 본문 Light"/>
        <family val="3"/>
        <charset val="129"/>
      </rPr>
      <t xml:space="preserve">    - 사전허가제 승인여부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 - U-head 및 멍에재의 설치는 최상단 작업발판 또는 하부에 추락방지망 설치가 완료된 후 실시
    - 구조검토에 의한 가새재의 적정위치 및 수량
    - 단절구간 수평연결재 설치(보-슬라브-보, 기둥의 4면)
    - 작업발판, 추락방지망, 단부 안전난간대의 기능 추가확보(시스템동바리 중간수평재는 90cm이하임)
    - 멍에(또는 이중멍에), 장선재의 간격유지
    - 경사구간 쐐기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</si>
  <si>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 xml:space="preserve">13) 비계 설치해체시 안전활동은 적절한가?
</t>
    </r>
    <r>
      <rPr>
        <sz val="10"/>
        <color theme="1"/>
        <rFont val="CJ ONLYONE NEW 본문 Light"/>
        <family val="3"/>
        <charset val="129"/>
      </rPr>
      <t xml:space="preserve">  </t>
    </r>
    <r>
      <rPr>
        <sz val="9"/>
        <color theme="1"/>
        <rFont val="CJ ONLYONE NEW 본문 Light"/>
        <family val="3"/>
        <charset val="129"/>
      </rPr>
      <t xml:space="preserve">  - 사전허가제 승인여부</t>
    </r>
    <r>
      <rPr>
        <sz val="9"/>
        <color rgb="FFFF0000"/>
        <rFont val="CJ ONLYONE NEW 본문 Light"/>
        <family val="3"/>
        <charset val="129"/>
      </rPr>
      <t xml:space="preserve">
    - 비계 완성검사 여부(협력사, 공사팀, 안전팀 사용필증 발급 후 비치)
 </t>
    </r>
    <r>
      <rPr>
        <sz val="9"/>
        <color theme="1"/>
        <rFont val="CJ ONLYONE NEW 본문 Light"/>
        <family val="3"/>
        <charset val="129"/>
      </rPr>
      <t xml:space="preserve">   - 높이 5m 이상의 비계 조립, 해체 및 변경작업시에는 작업책임자(시공관리자 또는 협력사의 관리자) 상주
    - 비계로부터의 추락 또는 비계 하부로 이동 시 돌출물(내민 철근 등)에 의한 찔림 방지 조치(방호 캡)
    - 작업구역내 작업 근로자 외 출입금지 조치, 작업내용 게시 및 경고표지판을 비치(비계 적재하중 및 통로 표기)
    - 비계 재료의 조립 및 해체작업시 폭 20㎝ 이상의 작업발판을 설치하고 안전대 부착설비 설치 및 사용
    - 작업발판은 해체할 단의 1단 하부(해체할 단의 아랫단)에서 해체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</si>
  <si>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14) 기타 추락 예방시설 및 관리상태는 적절한가?</t>
    </r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</si>
  <si>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낙하/비래</t>
    </r>
    <phoneticPr fontId="6" type="noConversion"/>
  </si>
  <si>
    <t>양호</t>
    <phoneticPr fontId="6" type="noConversion"/>
  </si>
  <si>
    <t>보통</t>
    <phoneticPr fontId="6" type="noConversion"/>
  </si>
  <si>
    <t>미흡</t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</si>
  <si>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1) 작업 통로구간 낙하물위험에 대한 조치는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낙하물방지망 설치 또는 방호선반 설치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</si>
  <si>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2) 비계 조립 해체시 안전조치는 적절한가?(B/T비계 포함)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color theme="1"/>
        <rFont val="CJ ONLYONE NEW 본문 Light"/>
        <family val="3"/>
        <charset val="129"/>
      </rPr>
      <t xml:space="preserve">   - 비계작업시 재료, 기구 및 공구등을 올리거나 내리는 경우 달줄, 달포대 사용하는 등 낙하방지 조치
    - 상하 동시작업 금지
    - 발끝막이판은 높이 10cm이상 설치(수직보호망 설치장소는 제외)
    - 최대적재하중 및 관리책임자 선임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</si>
  <si>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3) 낙하위험 제거 및 하부 통제는 적절한가?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9"/>
        <color rgb="FFFF0000"/>
        <rFont val="CJ ONLYONE NEW 본문 Light"/>
        <family val="3"/>
        <charset val="129"/>
      </rPr>
      <t xml:space="preserve">  </t>
    </r>
    <r>
      <rPr>
        <sz val="9"/>
        <color theme="1"/>
        <rFont val="CJ ONLYONE NEW 본문 Light"/>
        <family val="3"/>
        <charset val="129"/>
      </rPr>
      <t xml:space="preserve"> - 달비계, 곤돌라, 고소작업차,크레인작업, 가시설 해체작업, T/C 조립해체 등 하부 통제 및 통제원 배치
    - 작업대 및 작업용 기구 등은 떨어지지 않도록 부착
    - 상하동시작업 금지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</si>
  <si>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4) 낙하물 방지망 설치여부 및 설치기준을 준수하였는가? 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color theme="1"/>
        <rFont val="CJ ONLYONE NEW 본문 Light"/>
        <family val="3"/>
        <charset val="129"/>
      </rPr>
      <t xml:space="preserve">   - 첫 단은 8m 이내 방호선반 기준에 준하는 구조의 낙하물방지망을 설치할 것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높이 10미터 이내마다 설치하고, 내민 길이는 벽면으로부터 2미터 이상으로 할 것
    - 수평면과의 각도는 20도 이상 30도 이하를 유지할 것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</si>
  <si>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5) 양중시 줄걸이 상태 및 신호수 배치는 적절한가?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9"/>
        <color rgb="FFFF0000"/>
        <rFont val="CJ ONLYONE NEW 본문 Light"/>
        <family val="3"/>
        <charset val="129"/>
      </rPr>
      <t xml:space="preserve">  - 라운드 슬링벨트, 규격 와이어로프 사용여부(100kg이하 하물 취급 시 Webbing슬링 가능)
    - 줄걸이 점검표 주간 단위 부착 여부(1월-빨강, 2월-노랑, 3월-초록, 4월-파랑)
    - 줄걸이 도구 보관함 설치 및 운영</t>
    </r>
    <r>
      <rPr>
        <sz val="9"/>
        <color theme="1"/>
        <rFont val="CJ ONLYONE NEW 본문 Light"/>
        <family val="3"/>
        <charset val="129"/>
      </rPr>
      <t xml:space="preserve">
    - 샤클 묶음방향, 로프 상태, 로프 점검, 양중물 결속상태, 양중물 낙하위험
    - 신호수 배치, 복장상태, 지참물 (타 근로자와 식별가능한 형광조끼, 안전모 착용, 호각, 신호봉무전기 지참)
    - 샤클 규격품 사용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</si>
  <si>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6) 양중 BOX 사용 및 관리여부는 적절한가?</t>
    </r>
    <r>
      <rPr>
        <sz val="10"/>
        <color rgb="FFFF0000"/>
        <rFont val="CJ ONLYONE NEW 본문 Light"/>
        <family val="3"/>
        <charset val="129"/>
      </rPr>
      <t xml:space="preserve"> 
   </t>
    </r>
    <r>
      <rPr>
        <sz val="10"/>
        <color theme="1"/>
        <rFont val="CJ ONLYONE NEW 본문 Light"/>
        <family val="3"/>
        <charset val="129"/>
      </rPr>
      <t xml:space="preserve"> - 비파괴검사 및 구조검토 실시 및 허용 하중표 부착
    - 줄걸이는 4개지점 결속 및 16mm 이상 사용
 </t>
    </r>
    <r>
      <rPr>
        <sz val="9"/>
        <color theme="1"/>
        <rFont val="CJ ONLYONE NEW 본문 Light"/>
        <family val="3"/>
        <charset val="129"/>
      </rPr>
      <t xml:space="preserve">   - 양중마대 사용시 허용 하중표 부착 및 하부 벨트 Type 사용(철근, 폐콘크리트 등 날카로운 물질 양중금지)
    - 적재중량 초과 사용금지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</si>
  <si>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7) 갱폼 낙하위험 대책은 적절한가?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 - 최대풍속 10m/sec 이상시 인양작업 금지
    - 갱폼 낙하방지시설물 설치
    - 크레인 줄걸이로프 연결전 1,2열 또는 1,8열 선해체 금지
    - 앵커볼트 순정착길이 가로150mm, 세로 50mm 이상
    - 갱폼 인양 후 2열 체결(8단 600mm,9단 1,200mm 하단 앵커볼트+ Tie 볼트)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</si>
  <si>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8) 기타 낙하/비래 예방시설 관리상태는 양호한가?</t>
    </r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</si>
  <si>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전도</t>
    </r>
    <phoneticPr fontId="6" type="noConversion"/>
  </si>
  <si>
    <t>양호</t>
    <phoneticPr fontId="6" type="noConversion"/>
  </si>
  <si>
    <t>미흡</t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</si>
  <si>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1) 작업통로는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통로의 주요 부분에는 통로표시를 하고, 근로자가 안전하게 통행할 수 있도록 조치
    - 통로면으로부터 높이 2m 이내에는 장애물이 없도록 유지(불가피시 전도, 충돌위험이 없도록 조치)
    - 가설계단 설치시 높이가 3m를 초과하는 계단에 높이 3m 이내마다 너비 1.2m 이상의 계단참 설치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</si>
  <si>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2) 가설통로 설치는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견고한 구조로 할 것
    - 경사는 30° 이하(다만, 계단을 설치하거나 높이 2m 미만의 통로에 튼튼한 손잡이를 설치시 예외)
    - 경사가 15°를 초과하는 경우에는 미끄러지지 아니하는 구조로 설치
    - 추락할 위험이 있는 장소에는 안전난간을 설치할 것(높이 1m이상시 안전난간 설치)
    - 수직갱에 가설된 통로의 길이가 15m 이상인 경우에는 10m 이내마다 계단참 설치
    - 건설공사에 사용하는 높이 8m 이상인 비계다리에는 7m 이내마다 계단참 설치 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</si>
  <si>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3) 가설통로 경사로 안전조치는 적절한가?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 - 경사로의 폭은 90㎝ 이상 유지
    - 경사로의 비탈면 경사각은 30°이내로 하고 경사가 15°를 초과할 경우 미끄럼막이 설치
      . 경사각 30°이내  미끄럼 막이 간격은 30㎝, 경사각 29° 미끄럼 막이 간격은 33㎝ 19° 43㎝
      . 경사각 27° 미끄럼 막이 간격은 35㎝, 경사각 24° 미끄럼 막이 간격은 39cm 
  </t>
    </r>
    <r>
      <rPr>
        <sz val="9"/>
        <color theme="1"/>
        <rFont val="CJ ONLYONE NEW 본문 Light"/>
        <family val="3"/>
        <charset val="129"/>
      </rPr>
      <t xml:space="preserve">    . 경사각 19° 미끄럼 막이 간격은 43㎝, 경사각 17° 미끄럼 막이 간격은 45㎝, 경사각 15° 초과 47cm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</si>
  <si>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4) 작업장 청결유지는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작업장에서 넘어지거나 미끄러지는 등의 위험이 없도록 작업장 바닥 등을 안전하고 청결한 상태로 유지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</si>
  <si>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5) 통행로 및 작업장의 조도확보는 적절한가?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 - 근로자가 안전하게 통행할 수 있도록 통로에 75럭스 이상의 채광 또는 조명시설 설치 
    - 작업장 조도 유지(초정밀작업: 750Lux, 정밀작업: 300Lux, 보통작업: 150Lux, 그 밖의 작업: 75Lux 이상)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</si>
  <si>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6) 기타 전도 예방시설 관리상태는 양호한가?</t>
    </r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</si>
  <si>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장비</t>
    </r>
    <phoneticPr fontId="6" type="noConversion"/>
  </si>
  <si>
    <t>양호</t>
    <phoneticPr fontId="6" type="noConversion"/>
  </si>
  <si>
    <t>미흡</t>
    <phoneticPr fontId="6" type="noConversion"/>
  </si>
  <si>
    <r>
      <rPr>
        <sz val="10"/>
        <color theme="1"/>
        <rFont val="CJ ONLYONE NEW 본문 Light"/>
        <family val="3"/>
        <charset val="129"/>
      </rPr>
      <t xml:space="preserve">  </t>
    </r>
    <r>
      <rPr>
        <b/>
        <sz val="10"/>
        <color theme="1"/>
        <rFont val="CJ ONLYONE NEW 본문 Light"/>
        <family val="3"/>
        <charset val="129"/>
      </rPr>
      <t>1) 장비의 구조검토와 일치여부(곤돌라 등), 작업계획서와 동일한 작업 이행여부 등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</si>
  <si>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2) 작업계획서는 사전에 작성하고 있는가?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9"/>
        <color rgb="FFFF0000"/>
        <rFont val="CJ ONLYONE NEW 본문 Light"/>
        <family val="3"/>
        <charset val="129"/>
      </rPr>
      <t xml:space="preserve"> </t>
    </r>
    <r>
      <rPr>
        <sz val="9"/>
        <color theme="1"/>
        <rFont val="CJ ONLYONE NEW 본문 Light"/>
        <family val="3"/>
        <charset val="129"/>
      </rPr>
      <t>- 건설장비의 작업 전에는 해당 기계의 종류 및 성능, 운행경로, 작업순서, 작업방법 등이 명기된 작업계획서를
       작성하고  검토 및 승인 후 작업
       → 작업계획서 작성 → 시공관리자 검토 → 안전관리자 검토 → 현장소장 승인
    - 단기작업의 경우라도 작업계획서를 작성하여야 하며 동일한 작업을 장기적으로 시행하는 경우에는 1회만 작성
       (단, 작업의 내용이 변경되는 경우에는 새로운 작업계획서를 작성해야 함)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</si>
  <si>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3) 장비 안전점검은 적절하게 이루어지고 있는가?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- 반입시점검(외부점검 + 현장 자체점검)
</t>
    </r>
    <r>
      <rPr>
        <sz val="9"/>
        <color rgb="FFFF0000"/>
        <rFont val="CJ ONLYONE NEW 본문 Light"/>
        <family val="3"/>
        <charset val="129"/>
      </rPr>
      <t xml:space="preserve">    - 건설기계 작업 허가증 발급 및 공사팀, 협력사 소장 인계 주간점검 실시 (정 CJ공사담당자 / 부 해당 협력사 소장)
    - 작업계획서, 위험성평가서, 안전점검표 비치</t>
    </r>
    <r>
      <rPr>
        <sz val="9"/>
        <color theme="1"/>
        <rFont val="CJ ONLYONE NEW 본문 Light"/>
        <family val="3"/>
        <charset val="129"/>
      </rPr>
      <t xml:space="preserve">
    - 작업 시작전 점검 (일일 점검)
       운전원은 매일 작업 시작전 해당 안전점검표를 사용하여 안전점검을 실시하고 매주 안전팀에 제출 
    - 외주컨설팅 점검
       아래에 해당되는 건설장비의 사용 중에는 2개월 마다 3rd Party 점검업체가 점검 실시
      ※ 국내 : 타워크레인, 항타기, 건설용리프트, 크럼쉘, 곤돌라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</si>
  <si>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4) 안전검사는 시행 하였는가?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크레인, 리프트 및 곤돌라 : 6개월마다
    - 압력용기(2kgf) : 제조일이후 3년 이후 2년마다
    - 안전인증 및 안전검사 합격증의 게시여부</t>
    </r>
    <phoneticPr fontId="6" type="noConversion"/>
  </si>
  <si>
    <r>
      <t xml:space="preserve"> </t>
    </r>
    <r>
      <rPr>
        <b/>
        <sz val="10"/>
        <rFont val="CJ ONLYONE NEW 본문 Light"/>
        <family val="3"/>
        <charset val="129"/>
      </rPr>
      <t xml:space="preserve"> 5) </t>
    </r>
    <r>
      <rPr>
        <b/>
        <sz val="10"/>
        <color theme="1"/>
        <rFont val="CJ ONLYONE NEW 본문 Light"/>
        <family val="3"/>
        <charset val="129"/>
      </rPr>
      <t>유도자, 신호수, 줄걸이 작업자 배치는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건설장비가 이동하는 경우 장비별 전담 유도자 배치
       (다만, 근로자 및 건설장비간 충돌·협착 등의 위험이 없는 경우는 제외)
    - 크레인 등 양중장비를 사용하여 양중작업시는 전담 신호수 배치
    - 크레인 등 양중장비를 사용하여 양중작업 시는 줄걸이 작업자 배치
    - 외부기관에서 시행한 8시간 타워크레인 전담 신호수교육 이수증 확인 및 배치</t>
    </r>
    <phoneticPr fontId="6" type="noConversion"/>
  </si>
  <si>
    <r>
      <t xml:space="preserve"> </t>
    </r>
    <r>
      <rPr>
        <b/>
        <sz val="10"/>
        <rFont val="CJ ONLYONE NEW 본문 Light"/>
        <family val="3"/>
        <charset val="129"/>
      </rPr>
      <t xml:space="preserve"> 6) </t>
    </r>
    <r>
      <rPr>
        <b/>
        <sz val="10"/>
        <color theme="1"/>
        <rFont val="CJ ONLYONE NEW 본문 Light"/>
        <family val="3"/>
        <charset val="129"/>
      </rPr>
      <t>유도자 · 신호수 복장 착용 및 줄걸이 자격취득 작업자 배치는 적절한가?</t>
    </r>
    <r>
      <rPr>
        <sz val="10"/>
        <color rgb="FFFF0000"/>
        <rFont val="CJ ONLYONE NEW 본문 Light"/>
        <family val="3"/>
        <charset val="129"/>
      </rPr>
      <t xml:space="preserve">
  </t>
    </r>
    <r>
      <rPr>
        <sz val="10"/>
        <color theme="1"/>
        <rFont val="CJ ONLYONE NEW 본문 Light"/>
        <family val="3"/>
        <charset val="129"/>
      </rPr>
      <t xml:space="preserve">  - 유도자 복장
     ① 타 근로자와 식별 가능한 형광조끼, 안전모 착용 
     ② 호각, 신호봉, 필요시 무전기 지참
    - 신호수 복장
     ① 타 근로자와 식별 가능한 형광조끼, 안전모 착용 
     ② 호각, 신호봉, 무전기 지참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</si>
  <si>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7) 건설장비의 사용 중 다음 사항을 준수하고 있는가?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</t>
    </r>
    <r>
      <rPr>
        <sz val="9"/>
        <color theme="1"/>
        <rFont val="CJ ONLYONE NEW 본문 Light"/>
        <family val="3"/>
        <charset val="129"/>
      </rPr>
      <t xml:space="preserve">- 운전원이 운전석을 이탈한 경우 시동 키(Key)를 운전대에서 분리
    - 차륜이 부착된 이동식 건설장비는 주차시 고임목 설치
    - 최대속도 10km/h를 초과하는 건설장비를 사용하여 작업을 하는 경우 미리 작업장소의 지형 및 지반 상태 등에 적합한
       제한속도를 정함. 단, 덤프트럭의 제한속도는 10km/h로 함
    - 야간 작업시 모든 이동식 건설장비는 비상등을 켜고 운행을 하여야 함
    - 장비와 보행자 통로는 시설물을 사용하여 분리하고, 접근 금지표지 설치
    - 모든 건설장비는 화재시 사용할 수 있는 소화기 비치
    - 운전원 안전벨트 착용
    - 운전 중 흡연금지, 휴대기기 사용금지 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</si>
  <si>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8) 건설장비 후방의 충돌 · 협착사고를 예방하기 위해 후방 카메라 부착은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굴삭기
    - 로더 및 지게차
    - 살수차 등 직영관리 장비
    - 기타 후진시 충돌·협착위험이 있다고 판단되는 장비 (덤프트럭, 믹서트럭 등)</t>
    </r>
    <phoneticPr fontId="6" type="noConversion"/>
  </si>
  <si>
    <r>
      <t xml:space="preserve"> </t>
    </r>
    <r>
      <rPr>
        <b/>
        <sz val="10"/>
        <color rgb="FFFF0000"/>
        <rFont val="CJ ONLYONE NEW 본문 Light"/>
        <family val="3"/>
        <charset val="129"/>
      </rPr>
      <t xml:space="preserve"> </t>
    </r>
    <r>
      <rPr>
        <b/>
        <sz val="10"/>
        <rFont val="CJ ONLYONE NEW 본문 Light"/>
        <family val="3"/>
        <charset val="129"/>
      </rPr>
      <t xml:space="preserve">9) </t>
    </r>
    <r>
      <rPr>
        <b/>
        <sz val="10"/>
        <color theme="1"/>
        <rFont val="CJ ONLYONE NEW 본문 Light"/>
        <family val="3"/>
        <charset val="129"/>
      </rPr>
      <t>현장내 건설장비의 조립ㆍ해체 시 관리감독자 입회 하에 작업은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이동이 가능한 장비의 경우 현장 내에서 정비 및 수리 금지
       단, 부득이한 경우(반출이 불가능한 경우)에는 현장소장의 승인 후 관리감독자의 입회 하에 전문 정비사에 
       의해 정비 수리 실시
    - 현장에서 정비 · 수리를 시행할 경우, 장소를 지정하여 구획을 설정하고 접근금지 및 작업 안내표지 설치 
    - 수리 등 작업시 안전지지대 또는 안전블록 사용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</si>
  <si>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10) 장비의 용도외 사용, 개조여부는? 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color theme="1"/>
        <rFont val="CJ ONLYONE NEW 본문 Light"/>
        <family val="3"/>
        <charset val="129"/>
      </rPr>
      <t xml:space="preserve">   - 임의제작, 기종의 변경, 규격의 증가 및 규정된 용량을 초과하는 작업장치 사용금지
    - 지게차 포크, 굴삭기 버킷에 사람이 탑승하는 등 용도외 사용금지</t>
    </r>
    <phoneticPr fontId="6" type="noConversion"/>
  </si>
  <si>
    <t xml:space="preserve">  11) 작업반경 통제 및 출입금지 조치, 근로자 이동동선 확보 등은 적정한가? (자재, 지장물 제거 등)</t>
    <phoneticPr fontId="6" type="noConversion"/>
  </si>
  <si>
    <t xml:space="preserve">  12) 장비의 안전장치 설치 및 작동 상태는 적정한가? (권과방지, 과부하방지. 비상정지장치 등)</t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</si>
  <si>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13) 장비의 전도방지 조치는 적정한가? (아웃트리거 확장, 받침목 상태 및 지반상태)</t>
    </r>
    <r>
      <rPr>
        <sz val="10"/>
        <color theme="1"/>
        <rFont val="CJ ONLYONE NEW 본문 Light"/>
        <family val="3"/>
        <charset val="129"/>
      </rPr>
      <t xml:space="preserve">
  </t>
    </r>
    <r>
      <rPr>
        <sz val="9"/>
        <color theme="1"/>
        <rFont val="CJ ONLYONE NEW 본문 Light"/>
        <family val="3"/>
        <charset val="129"/>
      </rPr>
      <t xml:space="preserve">  - 아웃트리거 받침의 사용은 2단을 초과하지 않아야 됨
    - 아웃트리거를 설치하는 때에는 완전히 확장한 상태에서 지내력이 확보된 수평지면 위에 설치하고 
      허용하중의 범위 내에서 작업                                                                                                
    - 연약지반 장비 운영 관리 상태(연약지반 철판 사용상태, 연약지반 장비셋팅, 연약지반 치환작업)
    - 지형에 대한 가설도로 운영관리 상태(가설도로 전도, 미끄럼예방조치, 침하예방 조치 등)</t>
    </r>
    <phoneticPr fontId="6" type="noConversion"/>
  </si>
  <si>
    <r>
      <rPr>
        <b/>
        <sz val="10"/>
        <color rgb="FFFF0000"/>
        <rFont val="CJ ONLYONE NEW 본문 Light"/>
        <family val="3"/>
        <charset val="129"/>
      </rPr>
      <t xml:space="preserve">  14) 테이블리프트(고소작업대) 관리상태는 양호한가?</t>
    </r>
    <r>
      <rPr>
        <sz val="10"/>
        <color rgb="FFFF0000"/>
        <rFont val="CJ ONLYONE NEW 본문 Light"/>
        <family val="3"/>
        <charset val="129"/>
      </rPr>
      <t xml:space="preserve">
</t>
    </r>
    <r>
      <rPr>
        <sz val="9"/>
        <color rgb="FFFF0000"/>
        <rFont val="CJ ONLYONE NEW 본문 Light"/>
        <family val="3"/>
        <charset val="129"/>
      </rPr>
      <t xml:space="preserve">    - 협착방지대(사각 리미트) 및 협착방지봉(근로자 머리높이 이상) 4개소 설치
    - 풋스위치 고정 및 덮개 확인
    - 조작 방법, 운전원 실명제, 안전인증서, 일일 점검표, 비상하강장치 작동방법 등 부착 관리
    - 반입 시 검사 및 매월 1회 정기점검(렌탈 임대업체 방문 점검) 여부</t>
    </r>
    <phoneticPr fontId="6" type="noConversion"/>
  </si>
  <si>
    <t xml:space="preserve">  15) 기타 장비재해 예방시설 관리상태는 양호한가?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</si>
  <si>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붕괴/도괴</t>
    </r>
    <phoneticPr fontId="6" type="noConversion"/>
  </si>
  <si>
    <t>보통</t>
    <phoneticPr fontId="6" type="noConversion"/>
  </si>
  <si>
    <r>
      <rPr>
        <sz val="10"/>
        <color theme="1"/>
        <rFont val="CJ ONLYONE NEW 본문 Light"/>
        <family val="3"/>
        <charset val="129"/>
      </rPr>
      <t xml:space="preserve">  </t>
    </r>
    <r>
      <rPr>
        <b/>
        <sz val="10"/>
        <color theme="1"/>
        <rFont val="CJ ONLYONE NEW 본문 Light"/>
        <family val="3"/>
        <charset val="129"/>
      </rPr>
      <t>1) 거푸집 동바리 구조검토 및 설치/해체 계획서를 준수하는가?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</si>
  <si>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2) 거푸집 동바리 설치 상태는 적절한가?</t>
    </r>
    <r>
      <rPr>
        <sz val="10"/>
        <color theme="1"/>
        <rFont val="CJ ONLYONE NEW 본문 Light"/>
        <family val="3"/>
        <charset val="129"/>
      </rPr>
      <t xml:space="preserve">
    - 파이프 써포트를 이어서 사용하는 경우에는 4개 이상의 볼트 또는 전용철물 사용
    - 파이프 써포트는 3본 이상 이어서 사용 금지
    - 높이 3.5m를 초과하는 경우에는 2m 이내마다 수평 연결재를 2개 방향으로 설치
    - 거푸집의 형상에 따른 부득이한 경우를 제외하고는 깔판·깔목 등을 2단 이상 끼우기 금지
    - 멍에장선의 규격 및 간격의 준수</t>
    </r>
    <phoneticPr fontId="6" type="noConversion"/>
  </si>
  <si>
    <t xml:space="preserve">  3) 비계 설치계획서 작성와 동일하게 시공되었는가?</t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</si>
  <si>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4) 비계 설치시 기준은 준수하고 있는가? (띠장 2m 장선 1.85 확인)</t>
    </r>
    <r>
      <rPr>
        <sz val="10"/>
        <color rgb="FFFF0000"/>
        <rFont val="CJ ONLYONE NEW 본문 Light"/>
        <family val="3"/>
        <charset val="129"/>
      </rPr>
      <t xml:space="preserve">
 </t>
    </r>
    <r>
      <rPr>
        <sz val="10"/>
        <rFont val="CJ ONLYONE NEW 본문 Light"/>
        <family val="3"/>
        <charset val="129"/>
      </rPr>
      <t xml:space="preserve"> </t>
    </r>
    <r>
      <rPr>
        <sz val="9"/>
        <rFont val="CJ ONLYONE NEW 본문 Light"/>
        <family val="3"/>
        <charset val="129"/>
      </rPr>
      <t xml:space="preserve">  - 기둥은 미끄러지거나 침하 방지를 위해 하단부에 깔판(밑받침 철물), 받침목 사용, 밑둥잡이 설치
    - 기둥간격은 띠장방향에서는 1.85미터, 장선 방향에서는 1.5m 이하 유지
</t>
    </r>
    <r>
      <rPr>
        <b/>
        <sz val="9"/>
        <rFont val="CJ ONLYONE NEW 본문 Light"/>
        <family val="3"/>
        <charset val="129"/>
      </rPr>
      <t xml:space="preserve"> </t>
    </r>
    <r>
      <rPr>
        <sz val="9"/>
        <rFont val="CJ ONLYONE NEW 본문 Light"/>
        <family val="3"/>
        <charset val="129"/>
      </rPr>
      <t xml:space="preserve">   - 비계기둥의 제일 윗부분으로부터 31미터되는 지점 밑부분의 비계기둥은 2개의 강관으로 묶어 세울 것.
       다만, 브라켓(까치발) 등으로 보강하여 2개의강관으로 묶을경우 이상의 강도가 유지되는 경우에는 
       그러하지 아니함
    - 띠장간격은 2m이하, 지상에서 첫 번째 띠장은 높이 2m 이하의 위치에 설치
    - 비계기둥과 띠장의 교차부에서는 비계기둥에 결속, 그 중간에는 띠장에 결속
    - 강관의 접속부 및 교차부는 적합한 부속철물 사용하여 견고하게 연결
    - 벽 이음은 수직으로 5m, 수평으로 5m 이내마다 연결(구조검토하면 20m2 이내, 실시공은 16m2 이내)
    - 비계 기둥 간격 10m 마다 45도 각도의 교차 가새 설치, 모든 비계기둥은 가새에 결속
    - 추락의 위험이 있는 경우 안전난간, 안전방망 등을 설치
    - 비계로부터 낙하의 위험이 있는 경우 발끝막이 판, 낙하물 방지망의 설치 등 낙하물 방지조치
    - 비계기둥간의 적재하중은 구조검토에 의한 집중하중 이상 적재금지 및 표기
      (산안법상 400kg이나 구조검토상 집중하중 확인)
</t>
    </r>
    <r>
      <rPr>
        <sz val="9"/>
        <color rgb="FFFF0000"/>
        <rFont val="CJ ONLYONE NEW 본문 Light"/>
        <family val="3"/>
        <charset val="129"/>
      </rPr>
      <t xml:space="preserve">    - B/T 비계 아웃트리거, 승강용 해치발판, 발판 밀실 설치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</si>
  <si>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5) 비계 점검활동은 적절한가?</t>
    </r>
    <r>
      <rPr>
        <sz val="10"/>
        <color rgb="FFFF0000"/>
        <rFont val="CJ ONLYONE NEW 본문 Light"/>
        <family val="3"/>
        <charset val="129"/>
      </rPr>
      <t xml:space="preserve">
   </t>
    </r>
    <r>
      <rPr>
        <sz val="10"/>
        <color theme="1"/>
        <rFont val="CJ ONLYONE NEW 본문 Light"/>
        <family val="3"/>
        <charset val="129"/>
      </rPr>
      <t xml:space="preserve"> - 시공관리자는 비계의 안전성에 대한 확인점검 후 사용 승인</t>
    </r>
    <r>
      <rPr>
        <sz val="10"/>
        <color rgb="FF0000FF"/>
        <rFont val="CJ ONLYONE NEW 본문 Light"/>
        <family val="3"/>
        <charset val="129"/>
      </rPr>
      <t xml:space="preserve"> </t>
    </r>
    <r>
      <rPr>
        <sz val="10"/>
        <color rgb="FFFF0000"/>
        <rFont val="CJ ONLYONE NEW 본문 Light"/>
        <family val="3"/>
        <charset val="129"/>
      </rPr>
      <t>(비계 사용필증 게시)</t>
    </r>
    <r>
      <rPr>
        <sz val="10"/>
        <color theme="1"/>
        <rFont val="CJ ONLYONE NEW 본문 Light"/>
        <family val="3"/>
        <charset val="129"/>
      </rPr>
      <t xml:space="preserve">
    - 비계의 점검</t>
    </r>
    <r>
      <rPr>
        <sz val="10"/>
        <color rgb="FFFF0000"/>
        <rFont val="CJ ONLYONE NEW 본문 Light"/>
        <family val="3"/>
        <charset val="129"/>
      </rPr>
      <t>(주간단위, 정 공사담당/부 해당 협력사 소장, B/T 포함)</t>
    </r>
    <r>
      <rPr>
        <sz val="10"/>
        <color theme="1"/>
        <rFont val="CJ ONLYONE NEW 본문 Light"/>
        <family val="3"/>
        <charset val="129"/>
      </rPr>
      <t xml:space="preserve"> 및 사용 승인 정보가 담긴 계획서를 비계에 부착 
    </t>
    </r>
    <r>
      <rPr>
        <sz val="10"/>
        <color rgb="FF0000FF"/>
        <rFont val="CJ ONLYONE NEW 본문 Light"/>
        <family val="3"/>
        <charset val="129"/>
      </rPr>
      <t xml:space="preserve">  </t>
    </r>
    <r>
      <rPr>
        <sz val="10"/>
        <color rgb="FFFF0000"/>
        <rFont val="CJ ONLYONE NEW 본문 Light"/>
        <family val="3"/>
        <charset val="129"/>
      </rPr>
      <t xml:space="preserve"> (비계 설치해체 계획서, 비계 점검표, 구조검토서 게시)</t>
    </r>
    <r>
      <rPr>
        <sz val="10"/>
        <color theme="1"/>
        <rFont val="CJ ONLYONE NEW 본문 Light"/>
        <family val="3"/>
        <charset val="129"/>
      </rPr>
      <t xml:space="preserve">
    - 비계의 계획서에는 승인 일자, 점검자, 점검 결과, 승인자 및 사용자 등의 정보가 포함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</si>
  <si>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6) 지반 붕괴, 구축물 붕괴, 토석의 낙하 등에 대한 조치는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지반은 안전한 경사로하고 낙하의 위험이 있는 토석을 제거하거나 옹벽, 흙막이 지보공 등을 설치
    - 지반의 붕괴 또는 토석의 낙하원인이 되는 빗물이나 지하수 등을 배제
    - 갱내의 낙반·측벽 붕괴의 위험이 있는 경우에는 지보공을 설치하고 부석을 제거하는 등 필요한 조치
    - 비가 올 경우를 대비하여 측구를 설치하거나 굴착사면에 비닐을 덮는 등 빗물 등의 침투에 의한 예방 조치
    - 근로자에게 위험을 미칠 우려가 있을 경우에는 출입금지 구역 설정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</si>
  <si>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7) 자재 적재는 적절한가? </t>
    </r>
    <r>
      <rPr>
        <sz val="10"/>
        <color theme="1"/>
        <rFont val="CJ ONLYONE NEW 본문 Light"/>
        <family val="3"/>
        <charset val="129"/>
      </rPr>
      <t xml:space="preserve">
    - 침하 우려가 없는 튼튼한 기반 위에 적재할 것
    - 불안정할 정도로 높이 쌓아 올리지 말 것 (현장적재기준 1.5m 이내 / 반입되는 자재 제외)
    - 하중이 한쪽으로 치우치지 않도록 쌓을 것
    - 제품,자재,부재등이 넘어지지 않도록 붙들어 지탱하게하는등 조치(예외: 근로자가 접근 못하도록 조치)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</si>
  <si>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8) 굴착면 높이가 2m이상인 경우 사전 조사결과 고려하여 다음사항을 포함한 작업계획서 작성여부?</t>
    </r>
    <r>
      <rPr>
        <sz val="10"/>
        <color theme="1"/>
        <rFont val="CJ ONLYONE NEW 본문 Light"/>
        <family val="3"/>
        <charset val="129"/>
      </rPr>
      <t xml:space="preserve">
    - 굴착작업 방법 및 순서, 토사 반출 방법, 필요한 인원 및 장비사용 계획
    - 매설물 등에 대한 이설 및 보호대책, 사업장내 연락방법 및 신호방법
    - 흙막이 지보공 설치방법 및 계측계획, 작업지휘자의 배치 계획 등</t>
    </r>
    <phoneticPr fontId="6" type="noConversion"/>
  </si>
  <si>
    <r>
      <t xml:space="preserve"> </t>
    </r>
    <r>
      <rPr>
        <b/>
        <sz val="10"/>
        <color theme="1"/>
        <rFont val="CJ ONLYONE NEW 본문 Light"/>
        <family val="3"/>
        <charset val="129"/>
      </rPr>
      <t xml:space="preserve"> 9) 경사면 붕괴방지 조치는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굴착고가 높은경우 붕괴방지를 위하여 최소의 구배유지, 절토부가 토사일 경우 여유폭 확보
    - 굴착사면에는 토사붕괴 방지를 위하여 천막등으로 보양하고 지반종류에 따라 굴착사면 기울기 기준 준수
    - 기울기 준수
       보통흙: 습지 1:1~1:1.5, 건지 1:0.5~1:1, 암반: 풍화암 1:0.8, 연암 1:0.5, 경암 1:0.3
    - 필요시 굴착사면에 소단을 형성하여 계단식으로 시공하고, 소단의 폭은 수평거리 2m 이상을 유지
    - 용수 및 유입수 배수처리 시설(측구)을 설치하고 우천시 굴착사면을 비닐 등으로 덮는 등 사면 붕괴 조치
    - 경사면 상부에 차량통행이 있는 경우 경계선, 울타리 등을 설치하여 경사면과 차량의 이격거리 확보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</si>
  <si>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10) 관로 터파기시 붕괴위험 조치는 적절한가?</t>
    </r>
    <r>
      <rPr>
        <sz val="10"/>
        <color theme="1"/>
        <rFont val="CJ ONLYONE NEW 본문 Light"/>
        <family val="3"/>
        <charset val="129"/>
      </rPr>
      <t xml:space="preserve">
    - 굴착사면의 기울기 기준을 준수해야 하며, 준수하지 못할 경우에는 흙막이 시공
    - 굴착깊이가 2m 이상일 경우, 작업계획서 작성하여 현장 준수여부 확인
    - 굴착토사와 자재 등을 적재할 경우에는 굴착깊이 이상 떨어진 장소에 적재
    - 굴착깊이가 1.5m 이상인 경우 승강설비 사용
    - 건설기계가 통행할 가능성이 있는 장소에는 장비통로를 굴착면에서 이격하여 별도 설치
    - 굴착구간 주변에 안전난간, 접근금지 시설, 야간 경고등을 설치하여 제 3자의 출입 통제 </t>
    </r>
    <phoneticPr fontId="6" type="noConversion"/>
  </si>
  <si>
    <t xml:space="preserve">  11) 기타 붕괴/도괴 예방시설 관리상태는 양호한가?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</si>
  <si>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감전</t>
    </r>
    <phoneticPr fontId="6" type="noConversion"/>
  </si>
  <si>
    <t>보통</t>
    <phoneticPr fontId="6" type="noConversion"/>
  </si>
  <si>
    <r>
      <t xml:space="preserve">  </t>
    </r>
    <r>
      <rPr>
        <b/>
        <sz val="10"/>
        <rFont val="CJ ONLYONE NEW 본문 Light"/>
        <family val="3"/>
        <charset val="129"/>
      </rPr>
      <t>1) 가설변압기, 고압선의 접근, 접촉금지 조치 여부는 적정한가?</t>
    </r>
    <r>
      <rPr>
        <sz val="10"/>
        <rFont val="CJ ONLYONE NEW 본문 Light"/>
        <family val="3"/>
        <charset val="129"/>
      </rPr>
      <t xml:space="preserve">
    - 전봇대 승하강용 손잡이는 1.8m 아래는 제거 
    - 관계자외 접근금지 조치, 경고표지판 부착
    - 크레인 운행시 간섭지역 고압선 방호조치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</si>
  <si>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2) 가설분전반 관리는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분전반 Main 차단기가 배선용 차단기인 경우에는 누전차단기를 추가 설치
        (단, 조명전용의 분전반의 경우 시건 장치를 하지 않을 수 있다)
    - 충전부가 노출되지 않도록 내부 보호판(촉수 방지판)을 설치하고 콘센트에는 사용 전압을 표시해야 함
    - 분전반에는 회로도, 점검표를 비치하고 월 1회이상 절연, 접지상태, 차단기 작동여부 등을 점검.
    - 분전반에는 시건장치를 하고 "취급자 외 조작금지" 표지 및 관리책임자</t>
    </r>
    <r>
      <rPr>
        <sz val="9"/>
        <color rgb="FFFF0000"/>
        <rFont val="CJ ONLYONE NEW 본문 Light"/>
        <family val="3"/>
        <charset val="129"/>
      </rPr>
      <t>(정 CJ전기담당자, 부 해당협력사 소장)</t>
    </r>
    <r>
      <rPr>
        <sz val="9"/>
        <color theme="1"/>
        <rFont val="CJ ONLYONE NEW 본문 Light"/>
        <family val="3"/>
        <charset val="129"/>
      </rPr>
      <t>를 부착해야 함
    - 각 분전반은 최초설치시 접지저항을 측정 및 기록하고, 이전 설치시 재측정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</si>
  <si>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3) 가설전선 관리는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임시배선의 지중 또는 가공으로 설치가 곤란하여 바닥에 깔리는 경우에는 방호 덮개 등을 설치하여 배선의 훼손 및
       접촉을 방지해야 함
    - 모든 배선은 분전반 및 배전반에서 인출하고 누전차단기에 연결되어야 함
    - 콘센트, 플러그는 접지가 된 것을 사용하고, 옥외에서는 방우형 콘센트 사용
    - 전기 작업선은 접지선이 있는 3선 사용(이중절연구조의 조명장치는 2P 전선 사용 가능)</t>
    </r>
    <phoneticPr fontId="6" type="noConversion"/>
  </si>
  <si>
    <r>
      <rPr>
        <b/>
        <sz val="10"/>
        <color theme="1"/>
        <rFont val="CJ ONLYONE NEW 본문 Light"/>
        <family val="3"/>
        <charset val="129"/>
      </rPr>
      <t xml:space="preserve">  4) 가설전등 관리는 적절한가?</t>
    </r>
    <r>
      <rPr>
        <sz val="10"/>
        <color theme="1"/>
        <rFont val="CJ ONLYONE NEW 본문 Light"/>
        <family val="3"/>
        <charset val="129"/>
      </rPr>
      <t xml:space="preserve">
    - 이동용 조명기구에는 보호망 설치
    - 전등 외함이 금속재일 경우에는 외함 접지여부
    - 가설전등 전도/낙하 방지조치</t>
    </r>
    <phoneticPr fontId="6" type="noConversion"/>
  </si>
  <si>
    <r>
      <t xml:space="preserve">   </t>
    </r>
    <r>
      <rPr>
        <b/>
        <sz val="10"/>
        <color theme="1"/>
        <rFont val="CJ ONLYONE NEW 본문 Light"/>
        <family val="3"/>
        <charset val="129"/>
      </rPr>
      <t>5) 용접기관리는 적절한가?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sz val="9"/>
        <color theme="1"/>
        <rFont val="CJ ONLYONE NEW 본문 Light"/>
        <family val="3"/>
        <charset val="129"/>
      </rPr>
      <t xml:space="preserve"> - 교류 아크 용접기를 사용할 경우에는 적격품의 자동전격방지기를 사용해야 하며, 작동상태를 수시 확인
    - 단자 접속부에는 테이핑을 하는 등 절연조치를 해야 하며, 용접기는 접지를 해야 한다(필요 시 외함 접지)
    - 홀더 및 홀더 선은 피복 및 절연상태를 유지한다. 특히 홀더는 모재 및 용접봉과 접촉되는 집게 부위 외에는
      전체가 절연 조치가 되어야 한다
    - 용접기 규격에 적합한 어스집게 사용여부</t>
    </r>
    <phoneticPr fontId="6" type="noConversion"/>
  </si>
  <si>
    <r>
      <rPr>
        <b/>
        <sz val="10"/>
        <rFont val="CJ ONLYONE NEW 본문 Light"/>
        <family val="3"/>
        <charset val="129"/>
      </rPr>
      <t xml:space="preserve">  6) 전기 공도구 관리는 적절한가? </t>
    </r>
    <r>
      <rPr>
        <sz val="10"/>
        <rFont val="CJ ONLYONE NEW 본문 Light"/>
        <family val="3"/>
        <charset val="129"/>
      </rPr>
      <t xml:space="preserve">
  </t>
    </r>
    <r>
      <rPr>
        <sz val="9"/>
        <rFont val="CJ ONLYONE NEW 본문 Light"/>
        <family val="3"/>
        <charset val="129"/>
      </rPr>
      <t xml:space="preserve">  - 관리감독자(또는 협력회사)는 전선, 콘센트 등의 전기설비 및 기계기구, 공도구에 대해 반입시 적격품 여부
    - 협력회사는 전기설비, 기계, 기구 및 공도구의 사용작업전 감전예방을 위해 점검 실시
    - 관리감독자는 가설전기 사용작업이 계획대로 이행되는지 확인
    - 관리감독자는 적격성을 갖춘자를 지정하여 전기설비, 기계, 기구, 공도구 등에 대해 정기적으로 점검 및 점검필증 부착
</t>
    </r>
    <r>
      <rPr>
        <sz val="9"/>
        <color rgb="FFFF0000"/>
        <rFont val="CJ ONLYONE NEW 본문 Light"/>
        <family val="3"/>
        <charset val="129"/>
      </rPr>
      <t xml:space="preserve">   </t>
    </r>
    <r>
      <rPr>
        <sz val="9"/>
        <color rgb="FF0000FF"/>
        <rFont val="CJ ONLYONE NEW 본문 Light"/>
        <family val="3"/>
        <charset val="129"/>
      </rPr>
      <t xml:space="preserve"> </t>
    </r>
    <r>
      <rPr>
        <sz val="9"/>
        <color rgb="FFFF0000"/>
        <rFont val="CJ ONLYONE NEW 본문 Light"/>
        <family val="3"/>
        <charset val="129"/>
      </rPr>
      <t>- 점검필증 관리 1월 - 빨강, 2월 - 노랑, 3월 - 초록, 4월 - 파랑(분기별 반복적용)</t>
    </r>
    <phoneticPr fontId="6" type="noConversion"/>
  </si>
  <si>
    <r>
      <rPr>
        <b/>
        <sz val="10"/>
        <rFont val="CJ ONLYONE NEW 본문 Light"/>
        <family val="3"/>
        <charset val="129"/>
      </rPr>
      <t xml:space="preserve">  7) 개인보호구 사용은 적절한가?</t>
    </r>
    <r>
      <rPr>
        <sz val="10"/>
        <rFont val="CJ ONLYONE NEW 본문 Light"/>
        <family val="3"/>
        <charset val="129"/>
      </rPr>
      <t xml:space="preserve">
    - 전기사용 작업시 감전을 방지하기 위한 내전압용 복장 및 장갑
    - 용접 시 감전, 화상 방지용 복장 및 장갑 등
    - 용접작업 등 유해광선이 발생하는 작업 및 각종 비산물이 발생할 수 있는 작업 시 용도에 맞게 사용
      • 차광 보안경: 눈에 해로운 자외선과 적외선 등이 발생하는 장소 등
      • 용접 보안면: 유해광선으로부터 눈을 보호하고 용접 시 발생하는 열에 의한 얼굴 및 목 부분의 
        열상이나 가열된 용재 등의 비산에 의한 화상의 위험 등</t>
    </r>
    <phoneticPr fontId="6" type="noConversion"/>
  </si>
  <si>
    <t xml:space="preserve">  8) 기타 감전 예방시설 관리상태는 적절한가?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</si>
  <si>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화재/폭발</t>
    </r>
    <phoneticPr fontId="6" type="noConversion"/>
  </si>
  <si>
    <t>양호</t>
    <phoneticPr fontId="6" type="noConversion"/>
  </si>
  <si>
    <t>보통</t>
    <phoneticPr fontId="6" type="noConversion"/>
  </si>
  <si>
    <t xml:space="preserve">  1) 흡연구역 설치 및 관리상태는 적절한가?</t>
    <phoneticPr fontId="6" type="noConversion"/>
  </si>
  <si>
    <t xml:space="preserve">  2) 가설건물(식당포함)의 화재 예방 조치
     (불연마감재, 노출배관, 퇴실확인, 가설 소화시설, 환풍기와 조명등 연동, 확산소화기 3*3 1ea 설치 등)</t>
    <phoneticPr fontId="6" type="noConversion"/>
  </si>
  <si>
    <t xml:space="preserve">  3) 화기작업 안전작업허가서 준수상태 및 화재감시자 배치</t>
    <phoneticPr fontId="6" type="noConversion"/>
  </si>
  <si>
    <t xml:space="preserve">  4) 불티비산방지 및 소화기는 적정하게 비치 및 관리 (주위 가연물 물질 제거 등)</t>
    <phoneticPr fontId="6" type="noConversion"/>
  </si>
  <si>
    <t xml:space="preserve">  5) 화기작업시 보안면, 장갑, 토시 등 적정 보호구를 착용</t>
    <phoneticPr fontId="6" type="noConversion"/>
  </si>
  <si>
    <t xml:space="preserve">  6) 임시소방시설 설치기준 및 가연성자재 보관 가이드라인 준수</t>
    <phoneticPr fontId="6" type="noConversion"/>
  </si>
  <si>
    <t xml:space="preserve">  7) 난방장치, 냉온수기 타이머부착형 사용, 냉온수기 2013년형 이후제품 사용</t>
    <phoneticPr fontId="6" type="noConversion"/>
  </si>
  <si>
    <r>
      <t xml:space="preserve">  8) 위험물저장소 설치, 인화성 물질의 보관 및 관리상태
  </t>
    </r>
    <r>
      <rPr>
        <sz val="9"/>
        <rFont val="CJ ONLYONE NEW 본문 Light"/>
        <family val="3"/>
        <charset val="129"/>
      </rPr>
      <t xml:space="preserve">  - 시건상태, 소화기 비치, 환기, 전도방지, 주변 인화성물질, 관리책임자 및 MSDS부착, 성상별 분리보관 등
    - 피뢰, 통기설비
    - 방유시설 </t>
    </r>
    <phoneticPr fontId="6" type="noConversion"/>
  </si>
  <si>
    <r>
      <t xml:space="preserve">  9) </t>
    </r>
    <r>
      <rPr>
        <sz val="10"/>
        <color rgb="FFFF0000"/>
        <rFont val="CJ ONLYONE NEW 본문 Light"/>
        <family val="3"/>
        <charset val="129"/>
      </rPr>
      <t>산소대차 관리책임자, 역화/역류 방지기</t>
    </r>
    <r>
      <rPr>
        <sz val="10"/>
        <rFont val="CJ ONLYONE NEW 본문 Light"/>
        <family val="3"/>
        <charset val="129"/>
      </rPr>
      <t>, 압력게이지, 호스, 운반기구의 전도방지장치, MSDS부착,</t>
    </r>
    <r>
      <rPr>
        <sz val="10"/>
        <color rgb="FFFF0000"/>
        <rFont val="CJ ONLYONE NEW 본문 Light"/>
        <family val="3"/>
        <charset val="129"/>
      </rPr>
      <t xml:space="preserve"> 
     </t>
    </r>
    <r>
      <rPr>
        <sz val="10"/>
        <color rgb="FF0000FF"/>
        <rFont val="CJ ONLYONE NEW 본문 Light"/>
        <family val="3"/>
        <charset val="129"/>
      </rPr>
      <t xml:space="preserve"> </t>
    </r>
    <r>
      <rPr>
        <sz val="10"/>
        <color rgb="FFFF0000"/>
        <rFont val="CJ ONLYONE NEW 본문 Light"/>
        <family val="3"/>
        <charset val="129"/>
      </rPr>
      <t>가스누출확인 전용 거품기</t>
    </r>
    <r>
      <rPr>
        <sz val="10"/>
        <rFont val="CJ ONLYONE NEW 본문 Light"/>
        <family val="3"/>
        <charset val="129"/>
      </rPr>
      <t xml:space="preserve"> 등 관리상태</t>
    </r>
    <phoneticPr fontId="6" type="noConversion"/>
  </si>
  <si>
    <t xml:space="preserve">  10) 기타 화재/폭발 예방시설 관리상태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</si>
  <si>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베임/찔림</t>
    </r>
    <r>
      <rPr>
        <b/>
        <sz val="10"/>
        <color theme="1"/>
        <rFont val="CJ ONLYONE NEW 본문 Light"/>
        <family val="3"/>
        <charset val="129"/>
      </rPr>
      <t>/소음</t>
    </r>
    <phoneticPr fontId="6" type="noConversion"/>
  </si>
  <si>
    <t>양호</t>
    <phoneticPr fontId="6" type="noConversion"/>
  </si>
  <si>
    <t>보통</t>
    <phoneticPr fontId="6" type="noConversion"/>
  </si>
  <si>
    <t>미흡</t>
    <phoneticPr fontId="6" type="noConversion"/>
  </si>
  <si>
    <t xml:space="preserve">  1) 기계류 회전축 안전덮개 설치</t>
    <phoneticPr fontId="6" type="noConversion"/>
  </si>
  <si>
    <t xml:space="preserve">  2) 목재가공용 둥근톱 접촉방지 및 작업대 고정상태</t>
    <phoneticPr fontId="6" type="noConversion"/>
  </si>
  <si>
    <t xml:space="preserve">  3) 돌출물에 대한 방호조치(철근캡 등)</t>
    <phoneticPr fontId="6" type="noConversion"/>
  </si>
  <si>
    <t xml:space="preserve">  4) 공도구의 안전장치 임의 해지(이중안전장치 해지 등)</t>
    <phoneticPr fontId="6" type="noConversion"/>
  </si>
  <si>
    <r>
      <t xml:space="preserve">  5) 기타 베임/찔림/</t>
    </r>
    <r>
      <rPr>
        <sz val="10"/>
        <color theme="1"/>
        <rFont val="CJ ONLYONE NEW 본문 Light"/>
        <family val="3"/>
        <charset val="129"/>
      </rPr>
      <t>소음</t>
    </r>
    <r>
      <rPr>
        <sz val="10"/>
        <rFont val="CJ ONLYONE NEW 본문 Light"/>
        <family val="3"/>
        <charset val="129"/>
      </rPr>
      <t xml:space="preserve"> 예방 관리상태</t>
    </r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</si>
  <si>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질식/누출</t>
    </r>
    <phoneticPr fontId="6" type="noConversion"/>
  </si>
  <si>
    <t>보통</t>
    <phoneticPr fontId="6" type="noConversion"/>
  </si>
  <si>
    <t xml:space="preserve">  1) 밀폐공간 작업시 산소 및 유해가스 농도는 사전 측정</t>
    <phoneticPr fontId="6" type="noConversion"/>
  </si>
  <si>
    <t xml:space="preserve">  2) 환기 및 조명설치, 관리자 배치 상태, 근로자 작업 확인</t>
    <phoneticPr fontId="6" type="noConversion"/>
  </si>
  <si>
    <t xml:space="preserve">  3) 위험 설비의 접근금지 및 임의조작 금지 조치</t>
    <phoneticPr fontId="6" type="noConversion"/>
  </si>
  <si>
    <t xml:space="preserve">  4) 유해위험물질의 취급시 중독, 질식 예방조치(MSDS부착, 보관장소의 적정성 등)</t>
    <phoneticPr fontId="6" type="noConversion"/>
  </si>
  <si>
    <r>
      <t xml:space="preserve">  5) 취급작업 시 적합한 보호구 착용</t>
    </r>
    <r>
      <rPr>
        <sz val="10"/>
        <color rgb="FFFF0000"/>
        <rFont val="CJ ONLYONE NEW 본문 Light"/>
        <family val="3"/>
        <charset val="129"/>
      </rPr>
      <t xml:space="preserve"> (산소결핍 위험장소 작업 시 송기마스크 착용)</t>
    </r>
    <phoneticPr fontId="6" type="noConversion"/>
  </si>
  <si>
    <t xml:space="preserve">  6) 기타 질식/누출 예방시설 관리상태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</si>
  <si>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협착/충돌</t>
    </r>
    <phoneticPr fontId="6" type="noConversion"/>
  </si>
  <si>
    <t>미흡</t>
    <phoneticPr fontId="6" type="noConversion"/>
  </si>
  <si>
    <t xml:space="preserve">  1) 자재 구름방지 및 결속/균형 유지상태</t>
    <phoneticPr fontId="6" type="noConversion"/>
  </si>
  <si>
    <t xml:space="preserve">  2) 장비협착 예방을 위한 Stopper 및 Dike 설치상태</t>
    <phoneticPr fontId="6" type="noConversion"/>
  </si>
  <si>
    <t xml:space="preserve">  3) 입출구 및 교차로부분 안내표지 및 신호수는 배치</t>
    <phoneticPr fontId="6" type="noConversion"/>
  </si>
  <si>
    <t xml:space="preserve">  4) 기타 협착/충돌 예방시설 관리상태</t>
    <phoneticPr fontId="6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</si>
  <si>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기타</t>
    </r>
    <phoneticPr fontId="6" type="noConversion"/>
  </si>
  <si>
    <r>
      <t xml:space="preserve">  </t>
    </r>
    <r>
      <rPr>
        <b/>
        <sz val="10"/>
        <color theme="1"/>
        <rFont val="CJ ONLYONE NEW 본문 Light"/>
        <family val="3"/>
        <charset val="129"/>
      </rPr>
      <t>1) 타워크레인, 건설용리프트, 항타기 및 항발기 산안법 개정사항 준수여부 (산안법 76조, 영66조, 규칙94조)</t>
    </r>
    <r>
      <rPr>
        <sz val="10"/>
        <color theme="1"/>
        <rFont val="CJ ONLYONE NEW 본문 Light"/>
        <family val="3"/>
        <charset val="129"/>
      </rPr>
      <t xml:space="preserve">
   - 소유 또는 대여하는자와 합동안전점검 실시
   - 작업계획서 작성 및 이행여부 확인
   - 작업자의 자격, 면허, 경험 또는 기능을 가지고 있는지 여부
   - 위험 예상시 작업중지 실시
   - 20년 초과된 타워크레인 사용여부 (당사 기준 15년)
   - 5년 초과된 마스트 조립용 볼트 및 핀 사용여부 (정밀진단 통과시 3년 단위 연장 가능)</t>
    </r>
    <phoneticPr fontId="6" type="noConversion"/>
  </si>
  <si>
    <r>
      <t xml:space="preserve">  2) 본사 업무지침(`19년 11월 8일 이후 착공현장부터 적용)
   - 시스템동바리, 비계 작업발판
</t>
    </r>
    <r>
      <rPr>
        <sz val="10"/>
        <color theme="1"/>
        <rFont val="CJ ONLYONE NEW 본문 Light"/>
        <family val="3"/>
        <charset val="129"/>
      </rPr>
      <t xml:space="preserve">    · 시스템동바리, 비계 작업계획서 설치 일주일전 당 사 승인 여부</t>
    </r>
    <r>
      <rPr>
        <b/>
        <sz val="10"/>
        <color theme="1"/>
        <rFont val="CJ ONLYONE NEW 본문 Light"/>
        <family val="3"/>
        <charset val="129"/>
      </rPr>
      <t xml:space="preserve">
</t>
    </r>
    <r>
      <rPr>
        <sz val="10"/>
        <color theme="1"/>
        <rFont val="CJ ONLYONE NEW 본문 Light"/>
        <family val="3"/>
        <charset val="129"/>
      </rPr>
      <t xml:space="preserve">    · 시스템동바리 작업발판 설치기준 준수(보 하부 양측면, E/V전실 최상부, 벽체(내부) 1.8m마다 40cm 이상)
    · 시스템비계 작업발판 설치기준 준수(계단실 형틀/철근작업, 벽체외부 1.8m 마다)
    · 수직승강로 1개층 1개소 이상(해치발판 포함) 설치 (구간별)
    · 작업발판 단부 구간 안전난간대, 발끝막이(안전망) 설치(작업발판 주변 추락방지망 설치시 제외)
    · 설치된 작업발판 임의해체 여부</t>
    </r>
    <phoneticPr fontId="6" type="noConversion"/>
  </si>
  <si>
    <r>
      <t xml:space="preserve"> 
 3-1) 본사 업무지침</t>
    </r>
    <r>
      <rPr>
        <sz val="10"/>
        <color theme="1"/>
        <rFont val="CJ ONLYONE NEW 본문 Light"/>
        <family val="3"/>
        <charset val="129"/>
      </rPr>
      <t xml:space="preserve">
   </t>
    </r>
    <r>
      <rPr>
        <b/>
        <sz val="10"/>
        <color theme="1"/>
        <rFont val="CJ ONLYONE NEW 본문 Light"/>
        <family val="3"/>
        <charset val="129"/>
      </rPr>
      <t xml:space="preserve">- 보통인부(용역) 관리방안 지침 </t>
    </r>
    <r>
      <rPr>
        <sz val="10"/>
        <color theme="1"/>
        <rFont val="CJ ONLYONE NEW 본문 Light"/>
        <family val="3"/>
        <charset val="129"/>
      </rPr>
      <t xml:space="preserve">
     . 공종별 TBM 진행 후 일일안전담당자 주관 보통 인부 별도 TBM 실시 여부(오전/오후)
     . 시공사/협력업체 용역 노란색 안전모 착용 여부
     . 스마트안전시스템 보통인부 작업허가제 운영(허가제 현장 비치는 제외)
     * 보통인부 대상 : 용역업체를 통해 채용된 용역 및 단발성 기술 근로자 포함(철근, 형틀공 等)
</t>
    </r>
    <r>
      <rPr>
        <b/>
        <sz val="10"/>
        <color theme="1"/>
        <rFont val="CJ ONLYONE NEW 본문 Regular"/>
        <family val="3"/>
        <charset val="129"/>
      </rPr>
      <t/>
    </r>
    <phoneticPr fontId="6" type="noConversion"/>
  </si>
  <si>
    <r>
      <t xml:space="preserve"> 3-2) 본사 업무지침 
   - 일일 안전시공 Cycle 운영 여부</t>
    </r>
    <r>
      <rPr>
        <sz val="10"/>
        <color theme="1"/>
        <rFont val="CJ ONLYONE NEW 본문 Light"/>
        <family val="3"/>
        <charset val="129"/>
      </rPr>
      <t xml:space="preserve">
      . 오전 일일 품질/안전 공정회의 실시 여부
       - 직원(팀장급) 및 협력사 소장 참석 - 공사팀장 주관
      . 직원 공정회의(주1회이상) - 현장소장 주관</t>
    </r>
    <r>
      <rPr>
        <b/>
        <sz val="10"/>
        <color theme="1"/>
        <rFont val="CJ ONLYONE NEW 본문 Regular"/>
        <family val="3"/>
        <charset val="129"/>
      </rPr>
      <t/>
    </r>
    <phoneticPr fontId="6" type="noConversion"/>
  </si>
  <si>
    <t>■ 시스템분야 Check List</t>
    <phoneticPr fontId="6" type="noConversion"/>
  </si>
  <si>
    <t xml:space="preserve"> </t>
    <phoneticPr fontId="6" type="noConversion"/>
  </si>
  <si>
    <t>세부 평가항목</t>
    <phoneticPr fontId="6" type="noConversion"/>
  </si>
  <si>
    <t>평가등급</t>
    <phoneticPr fontId="6" type="noConversion"/>
  </si>
  <si>
    <t>평가</t>
    <phoneticPr fontId="6" type="noConversion"/>
  </si>
  <si>
    <t>환산평가</t>
    <phoneticPr fontId="6" type="noConversion"/>
  </si>
  <si>
    <t>개선필요 사항</t>
    <phoneticPr fontId="6" type="noConversion"/>
  </si>
  <si>
    <t>배점</t>
    <phoneticPr fontId="6" type="noConversion"/>
  </si>
  <si>
    <t>시스템 종합 점수</t>
    <phoneticPr fontId="4" type="noConversion"/>
  </si>
  <si>
    <t>양호 : 100% 이상
보통 : 70% 이상
미흡 : 70% 미만</t>
    <phoneticPr fontId="6" type="noConversion"/>
  </si>
  <si>
    <t>근거자료</t>
    <phoneticPr fontId="6" type="noConversion"/>
  </si>
  <si>
    <t xml:space="preserve"> ■ 안전보건방침 및 조직구성</t>
    <phoneticPr fontId="4" type="noConversion"/>
  </si>
  <si>
    <t>양호</t>
    <phoneticPr fontId="6" type="noConversion"/>
  </si>
  <si>
    <t>보통</t>
    <phoneticPr fontId="6" type="noConversion"/>
  </si>
  <si>
    <t>미흡</t>
    <phoneticPr fontId="6" type="noConversion"/>
  </si>
  <si>
    <t xml:space="preserve"> </t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</si>
  <si>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-안전보건 방침/목표 수립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 xml:space="preserve">현장 안전보건방침 및 목표를 적정하게 수립되고 의사소통이 되었는가? </t>
    </r>
    <r>
      <rPr>
        <sz val="10"/>
        <rFont val="CJ ONLYONE NEW 본문 Light"/>
        <family val="3"/>
        <charset val="129"/>
      </rPr>
      <t xml:space="preserve">
    ∙ 현장 안전보건 방침은 전사 안전보건방침을 연계하여 수립
    ∙ 전사 방침 및 현장소장 방침 게시(게시판, KOM, 교안 등)</t>
    </r>
    <phoneticPr fontId="43" type="noConversion"/>
  </si>
  <si>
    <t>- 게시물
- 유해∙위험방지계획서, 또는 안전관리계획서, 
  C-KOM, PRM 등의 자료, 교안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</si>
  <si>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-안전관리자 선임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안전전관리자는 법규기준에 맞게 선임되었는가?</t>
    </r>
    <r>
      <rPr>
        <sz val="10"/>
        <rFont val="CJ ONLYONE NEW 본문 Light"/>
        <family val="3"/>
        <charset val="129"/>
      </rPr>
      <t xml:space="preserve">
    ∙ 법적 선임 기준 준수 (실 착공기준-대관착공서류 확인)
    ∙ 안전관리자의 자격, 경력 기준 준수
 </t>
    </r>
    <r>
      <rPr>
        <sz val="9"/>
        <color theme="1"/>
        <rFont val="CJ ONLYONE NEW 본문 Light"/>
        <family val="3"/>
        <charset val="129"/>
      </rPr>
      <t xml:space="preserve">     (800억 이상 2명 선임시 1명은 기사 경력 3년이상, 3명이상일시 10년 이상, 공정율 15%미만/85%초과시 50% 선임)</t>
    </r>
    <phoneticPr fontId="4" type="noConversion"/>
  </si>
  <si>
    <t>- 선임 신고 서류(대관신고 포함), 기구조직도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</si>
  <si>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-안전조직의 구성</t>
    </r>
    <r>
      <rPr>
        <b/>
        <sz val="10"/>
        <rFont val="CJ ONLYONE NEW 본문 Light"/>
        <family val="3"/>
        <charset val="129"/>
      </rPr>
      <t xml:space="preserve">
  안전조직의 구성, 인력/업체 선정, 운영 및 정산은 적정하게 이루어지고 있는가? 
   (보조원, 시설팀,등)</t>
    </r>
    <r>
      <rPr>
        <sz val="10"/>
        <rFont val="CJ ONLYONE NEW 본문 Light"/>
        <family val="3"/>
        <charset val="129"/>
      </rPr>
      <t xml:space="preserve">
    ∙ 안전보조원 배치 및 관리
      1)안전보조원 업체 선정절차 준수(본사 승인)
      2)안전보조원 운영 기준의 적정성(작업지시, 업무, 처우, 근태, 복장 등)
      3)비용 정산 시 증빙 확인</t>
    </r>
    <phoneticPr fontId="4" type="noConversion"/>
  </si>
  <si>
    <r>
      <t xml:space="preserve">- 업무분장표(C-KOM, 유해위험방지계획서, 안전관리
   계획서)
</t>
    </r>
    <r>
      <rPr>
        <sz val="10"/>
        <color rgb="FFFF0000"/>
        <rFont val="CJ ONLYONE NEW 본문 Regular"/>
        <family val="3"/>
        <charset val="129"/>
      </rPr>
      <t>- 품의서(채용, 계약)
- 계약서/계약 조건, 법무팀 검토결과
- 안전 보조원 업무일지, 정산 내역</t>
    </r>
    <phoneticPr fontId="43" type="noConversion"/>
  </si>
  <si>
    <t xml:space="preserve"> ■ 위험성평가(스마트 안전시스템)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</si>
  <si>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-계획(P)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위험성평가는 주기에 맞게 실시되고 있는가?</t>
    </r>
    <r>
      <rPr>
        <sz val="10"/>
        <rFont val="CJ ONLYONE NEW 본문 Light"/>
        <family val="3"/>
        <charset val="129"/>
      </rPr>
      <t xml:space="preserve">
    · 최초 위험성평가 - 전공종 실시 여부
    · 수시 위험성평가 - 2주/1회 실시 여부(스마트 위험성평가 시스템)
    · 정기 위험성평가 - 1년/1회 실시 여부
</t>
    </r>
    <r>
      <rPr>
        <b/>
        <sz val="10"/>
        <rFont val="CJ ONLYONE NEW 본문 Light"/>
        <family val="3"/>
        <charset val="129"/>
      </rPr>
      <t xml:space="preserve">  협력사의 위험성평가 등록부 제출여부
  중점위험작업 선정의 적정성(작업일보 확인)
</t>
    </r>
    <r>
      <rPr>
        <sz val="10"/>
        <rFont val="CJ ONLYONE NEW 본문 Light"/>
        <family val="3"/>
        <charset val="129"/>
      </rPr>
      <t xml:space="preserve">    · 7대 위험작업 반영 여부(T/C, 건설용리프트, 항타기, 갱폼, 곤도라, 5M이상 동바리, 10M이상 외부비계)
    · TOP7 작업 반영 여부(고소작업, 건설장비, 화기작업, 양중작업, 가설전기작업, 밀폐공간작업, 가시설물작업)
    · 사전허가제 대상작업 반영여부(4m이상 고소작업, 화기작업, 밀폐공간작업, 용역작업)
    · 기타 현장에서 중점관리사항으로 분류한 작업 반영여부
</t>
    </r>
    <r>
      <rPr>
        <b/>
        <sz val="10"/>
        <rFont val="CJ ONLYONE NEW 본문 Light"/>
        <family val="3"/>
        <charset val="129"/>
      </rPr>
      <t xml:space="preserve">  실질적인 위험성 및 개선대책 도출 및 관리방법 수립</t>
    </r>
    <r>
      <rPr>
        <sz val="10"/>
        <rFont val="CJ ONLYONE NEW 본문 Light"/>
        <family val="3"/>
        <charset val="129"/>
      </rPr>
      <t xml:space="preserve">
    · 현장 공정 및 상황을 고려한 위험성 도출
    · 위험성평가 등록부 작성시 근로자 참여
    · 위험성평가 개선대책 의견 작성 적정성 및 실효성 (개선대책 순서 ; 기술적 - 교육/관리적 - 개인보호구)
    · 관리감독자 업무분장 적정성
    · 위험성평가 회의 참여도(당사직원, 협력사소장, 근로자대표 등)
  </t>
    </r>
    <r>
      <rPr>
        <b/>
        <sz val="10"/>
        <color rgb="FFFF0000"/>
        <rFont val="CJ ONLYONE NEW 본문 Light"/>
        <family val="3"/>
        <charset val="129"/>
      </rPr>
      <t xml:space="preserve">중대재해처벌법 Compliance Self Checklist 작성여부
</t>
    </r>
    <r>
      <rPr>
        <sz val="10"/>
        <color rgb="FFFF0000"/>
        <rFont val="CJ ONLYONE NEW 본문 Light"/>
        <family val="3"/>
        <charset val="129"/>
      </rPr>
      <t xml:space="preserve">   · 위험성평가 회의록 첨부여부</t>
    </r>
    <phoneticPr fontId="6" type="noConversion"/>
  </si>
  <si>
    <t>- C-KOM, 유해위험방지계획서, 안전관리계획서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</si>
  <si>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 xml:space="preserve">-이행(D)
</t>
    </r>
    <r>
      <rPr>
        <b/>
        <sz val="10"/>
        <color theme="1"/>
        <rFont val="CJ ONLYONE NEW 본문 Light"/>
        <family val="3"/>
        <charset val="129"/>
      </rPr>
      <t xml:space="preserve">  2주간 위험성평가 교육 및 숙지</t>
    </r>
    <r>
      <rPr>
        <sz val="10"/>
        <rFont val="CJ ONLYONE NEW 본문 Light"/>
        <family val="3"/>
        <charset val="129"/>
      </rPr>
      <t xml:space="preserve">
    · 2주간 위험성평가 해당공종 근로자 안전교육 실시여부(정기안전보건교육, 작업장TBM 등)
    · 관리감독자, 협력사소장, 근로자의 위험성평가 내용 숙지상태</t>
    </r>
    <r>
      <rPr>
        <b/>
        <sz val="10"/>
        <rFont val="CJ ONLYONE NEW 본문 Light"/>
        <family val="3"/>
        <charset val="129"/>
      </rPr>
      <t xml:space="preserve">
  중점위험작업의 현장점검 이행 상태
</t>
    </r>
    <r>
      <rPr>
        <sz val="10"/>
        <rFont val="CJ ONLYONE NEW 본문 Light"/>
        <family val="3"/>
        <charset val="129"/>
      </rPr>
      <t xml:space="preserve">    · 위험성평가 내용과 실제작업상태 비교
    · 점검결과와 현장 작업실시상태 일치 여부 (작업중이나 N/A 처리 등)
    · 위험성평가 개선대책 준수여부 및 스마트안전시스템 등록상태 적정성
        (위험성평가 내용과 점검내용·사진 일치여부, 개선대책 등록 적정성 여부)
    · 협력사의 조치결과 등록 여부(미조치, 3일기한 초과 등)</t>
    </r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</si>
  <si>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-이행확인(C)</t>
    </r>
    <r>
      <rPr>
        <b/>
        <sz val="10"/>
        <rFont val="CJ ONLYONE NEW 본문 Light"/>
        <family val="3"/>
        <charset val="129"/>
      </rPr>
      <t xml:space="preserve">
  스마트 안전시스템 현장 실시율(93% 이상 적합)
  현장소장 일일점검 승인여부</t>
    </r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</si>
  <si>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-분석(D)</t>
    </r>
    <r>
      <rPr>
        <sz val="10"/>
        <rFont val="CJ ONLYONE NEW 본문 Light"/>
        <family val="3"/>
        <charset val="129"/>
      </rPr>
      <t xml:space="preserve">
</t>
    </r>
    <r>
      <rPr>
        <b/>
        <sz val="10"/>
        <rFont val="CJ ONLYONE NEW 본문 Light"/>
        <family val="3"/>
        <charset val="129"/>
      </rPr>
      <t xml:space="preserve">  중점위험작업 지적사항 차기 위험성평가 Feed Back 확인(안전보건협의체 회의록, 위험성평가 회의록 등)</t>
    </r>
    <r>
      <rPr>
        <sz val="10"/>
        <rFont val="CJ ONLYONE NEW 본문 Light"/>
        <family val="3"/>
        <charset val="129"/>
      </rPr>
      <t xml:space="preserve">
</t>
    </r>
    <r>
      <rPr>
        <b/>
        <sz val="10"/>
        <rFont val="CJ ONLYONE NEW 본문 Light"/>
        <family val="3"/>
        <charset val="129"/>
      </rPr>
      <t xml:space="preserve">  중점위험작업 주요 지적사항 매월 안전교육 반영여부
  개인별 실시율 조사 및 독려 여부(위험성평가 실시 독려)</t>
    </r>
    <phoneticPr fontId="6" type="noConversion"/>
  </si>
  <si>
    <t xml:space="preserve"> ■ 법규 및 기타 요구사항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</si>
  <si>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-산업안전보건법령 요지 및 안전보건관리규정 게시</t>
    </r>
    <r>
      <rPr>
        <sz val="10"/>
        <rFont val="CJ ONLYONE NEW 본문 Light"/>
        <family val="3"/>
        <charset val="129"/>
      </rPr>
      <t xml:space="preserve">
</t>
    </r>
    <r>
      <rPr>
        <sz val="10"/>
        <color theme="1"/>
        <rFont val="CJ ONLYONE NEW 본문 Light"/>
        <family val="3"/>
        <charset val="129"/>
      </rPr>
      <t xml:space="preserve">    · 근로자 법규의 요지를 잘 보이는 곳에 알수 있도록 게시(국내 현장)
    · 원청 사무실 입구, 협력업체별 사무실 입구, 조회장 게시판(TBM 장소), 안전교육장, 
      근로자 휴게실, 화장실 등
        (5개소 이상 부착, 협력업체 부착개소는 동일 1개소로 인정)</t>
    </r>
    <phoneticPr fontId="4" type="noConversion"/>
  </si>
  <si>
    <r>
      <t xml:space="preserve">- </t>
    </r>
    <r>
      <rPr>
        <sz val="10"/>
        <color rgb="FF00B0F0"/>
        <rFont val="CJ ONLYONE NEW 본문 Regular"/>
        <family val="3"/>
        <charset val="129"/>
      </rPr>
      <t>법규 등록부</t>
    </r>
    <r>
      <rPr>
        <sz val="10"/>
        <rFont val="CJ ONLYONE NEW 본문 Regular"/>
        <family val="3"/>
        <charset val="129"/>
      </rPr>
      <t>, 법규 주요사항 게시 자료, 교안</t>
    </r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</si>
  <si>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-안전보건 관련 대관 신고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안전보건 관련 대관 신고는 적정한가?</t>
    </r>
    <r>
      <rPr>
        <sz val="10"/>
        <rFont val="CJ ONLYONE NEW 본문 Light"/>
        <family val="3"/>
        <charset val="129"/>
      </rPr>
      <t xml:space="preserve">
    · 사업개시 신고, 사업개시 선임 신고
    · 유해위험방지계획서 신고</t>
    </r>
    <r>
      <rPr>
        <sz val="10"/>
        <color rgb="FFFF0000"/>
        <rFont val="CJ ONLYONE NEW 본문 Light"/>
        <family val="3"/>
        <charset val="129"/>
      </rPr>
      <t xml:space="preserve">
       - 유해위험방지계획서 확인 점검 및 각종 점검, 감독 시 시정조치 요구에 대한 개선 조치 증빙서류
       - 상기 해당공종 위험성평가 반영 관리 여부</t>
    </r>
    <r>
      <rPr>
        <sz val="10"/>
        <rFont val="CJ ONLYONE NEW 본문 Light"/>
        <family val="3"/>
        <charset val="129"/>
      </rPr>
      <t xml:space="preserve">
    · 관리책임자 지정</t>
    </r>
    <phoneticPr fontId="4" type="noConversion"/>
  </si>
  <si>
    <t>- 사업개시 신고, 산재대리인 선임 신고
- 유해위험방지계획서 신고
- 안전관리자 선임 신고, 관리책임자 지정
- 현장 안전보건관리 규정</t>
    <phoneticPr fontId="43" type="noConversion"/>
  </si>
  <si>
    <t>■ 안전보건관리계획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</si>
  <si>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 xml:space="preserve">-연간 안전보건관리계획서
  </t>
    </r>
    <r>
      <rPr>
        <b/>
        <sz val="10"/>
        <rFont val="CJ ONLYONE NEW 본문 Light"/>
        <family val="3"/>
        <charset val="129"/>
      </rPr>
      <t>현장 안전보건관리 계획은 당사 기준, 법규에 충족하는가?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계획서 내용이 현장 현황과 일치하는가?</t>
    </r>
    <r>
      <rPr>
        <sz val="10"/>
        <rFont val="CJ ONLYONE NEW 본문 Light"/>
        <family val="3"/>
        <charset val="129"/>
      </rPr>
      <t xml:space="preserve">
    · 공사 개요, 주요 공종/작업 등
  </t>
    </r>
    <r>
      <rPr>
        <b/>
        <sz val="10"/>
        <rFont val="CJ ONLYONE NEW 본문 Light"/>
        <family val="3"/>
        <charset val="129"/>
      </rPr>
      <t xml:space="preserve">다음의 사항에 대해 구체적으로 기술되어 있는가?
 </t>
    </r>
    <r>
      <rPr>
        <sz val="10"/>
        <rFont val="CJ ONLYONE NEW 본문 Light"/>
        <family val="3"/>
        <charset val="129"/>
      </rPr>
      <t xml:space="preserve">   · 현장소장 방침, 목표 수립 및 사무실, 협력업체 사무실 등 게시 
    · 안전보건 목표 및 중점실시사항, 위험성평가 규정, 일일 시공 Cycle, 비상사태 대응 및 훈련, 작업 허가제 등
    · 중점위험작업에 대한 안전대책 수립
    · 구성원별 업무분장 및 세부 추진계획 수립 
    · 년간 교육계획 수립 
 </t>
    </r>
    <r>
      <rPr>
        <b/>
        <sz val="10"/>
        <color theme="1"/>
        <rFont val="CJ ONLYONE NEW 본문 Light"/>
        <family val="3"/>
        <charset val="129"/>
      </rPr>
      <t>7대 위험작업 운영관리는 적정하게 시행하는가?</t>
    </r>
    <r>
      <rPr>
        <sz val="10"/>
        <rFont val="CJ ONLYONE NEW 본문 Light"/>
        <family val="3"/>
        <charset val="129"/>
      </rPr>
      <t xml:space="preserve">
    ·작업 전 전자결재 상신 여부</t>
    </r>
    <phoneticPr fontId="4" type="noConversion"/>
  </si>
  <si>
    <t>- 유해∙위험방지계획서(Part 2) 또는 안전관리계획서</t>
    <phoneticPr fontId="43" type="noConversion"/>
  </si>
  <si>
    <r>
      <rPr>
        <sz val="10"/>
        <color theme="1"/>
        <rFont val="CJ ONLYONE NEW 본문 Light"/>
        <family val="3"/>
        <charset val="129"/>
      </rPr>
      <t>-</t>
    </r>
    <r>
      <rPr>
        <b/>
        <sz val="10"/>
        <color theme="1"/>
        <rFont val="CJ ONLYONE NEW 본문 Light"/>
        <family val="3"/>
        <charset val="129"/>
      </rPr>
      <t>협력사 시공계획서 내 안전보건관리 분야</t>
    </r>
    <r>
      <rPr>
        <b/>
        <sz val="10"/>
        <color rgb="FF0070C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 xml:space="preserve">안전보건관리 내용이 현장 현황과 일치하는가?
    </t>
    </r>
    <r>
      <rPr>
        <sz val="10"/>
        <rFont val="CJ ONLYONE NEW 본문 Light"/>
        <family val="3"/>
        <charset val="129"/>
      </rPr>
      <t xml:space="preserve">· 공사 개요, 주요 공종/작업, 변경사항 반영 및 개정 등
  </t>
    </r>
    <r>
      <rPr>
        <b/>
        <sz val="10"/>
        <rFont val="CJ ONLYONE NEW 본문 Light"/>
        <family val="3"/>
        <charset val="129"/>
      </rPr>
      <t>다음의 사항에 대해 구체적으로 기술되어 있는가?</t>
    </r>
    <r>
      <rPr>
        <sz val="10"/>
        <rFont val="CJ ONLYONE NEW 본문 Light"/>
        <family val="3"/>
        <charset val="129"/>
      </rPr>
      <t xml:space="preserve">
     · 최초/수시 위험성평가 실시 및 반영 (수시 위험성평가는 별도 관리 가능)
     · 중점위험작업 및 특정작업에 대한 기술적, 관리적 대책 수립
        : 특정작업 : TOP7 본사 사전허가제 대상 공종 안전대책 등
     · 유해·위험 기계/기구(특수장비/장치설비, 고위험 건설장비 등) 관리계획 수립
     · 협력회사 자체 안전교육 및 점검활동 계획 수립
     · 계상 비용에 맞는 안전관리비 사용 계획 수립
     · 개인 보호구 지급 및 관리 계획 수립
     · 작업장 환경 관리계획 수립
        : 분진, 소음, 조명, 환기설비, 유해위험물질 관리 등</t>
    </r>
    <phoneticPr fontId="4" type="noConversion"/>
  </si>
  <si>
    <t xml:space="preserve"> 
</t>
    <phoneticPr fontId="6" type="noConversion"/>
  </si>
  <si>
    <t>- 시공계획서</t>
    <phoneticPr fontId="43" type="noConversion"/>
  </si>
  <si>
    <t>■ 산업안전보건관리비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</si>
  <si>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-산업안전보건관리비 계상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현장의 산업안전보건관리비 계상 및 사용계획 및 변경은 적정한가? (본사 승인여부 확인)</t>
    </r>
    <r>
      <rPr>
        <sz val="10"/>
        <rFont val="CJ ONLYONE NEW 본문 Light"/>
        <family val="3"/>
        <charset val="129"/>
      </rPr>
      <t xml:space="preserve">
    · 산업안전보건관리비 계상 내역(도급 계약서, 실행 내역)-당사, 협력회사
    · 산업안전보건관리비 항목별 사용계획 수립</t>
    </r>
    <phoneticPr fontId="4" type="noConversion"/>
  </si>
  <si>
    <t>- 계약서, 산업안전보건관리비 사용계획서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</si>
  <si>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-산업안전보건관리비 사용</t>
    </r>
    <r>
      <rPr>
        <sz val="10"/>
        <rFont val="CJ ONLYONE NEW 본문 Light"/>
        <family val="3"/>
        <charset val="129"/>
      </rPr>
      <t xml:space="preserve">
 </t>
    </r>
    <r>
      <rPr>
        <b/>
        <sz val="10"/>
        <rFont val="CJ ONLYONE NEW 본문 Light"/>
        <family val="3"/>
        <charset val="129"/>
      </rPr>
      <t xml:space="preserve"> 산업안전보건관비 사용 내역은 적정한가?  또한 기록관리는 적정하게 유지하고 있는가?</t>
    </r>
    <r>
      <rPr>
        <sz val="10"/>
        <rFont val="CJ ONLYONE NEW 본문 Light"/>
        <family val="3"/>
        <charset val="129"/>
      </rPr>
      <t xml:space="preserve">
    · 산업안전보건관리비 사용내역서
      1)사용내용서 매월 작성 
      2)목적 외 사용 여부
      3)증빙서류 (세금계산서, 거래명세표, 사진대지, 인건비 증빙(용역 등), 보호구지급대장 등)
    · 협력회사 안전관리비 초과시 계약변경, 또는 당사 지급</t>
    </r>
    <phoneticPr fontId="4" type="noConversion"/>
  </si>
  <si>
    <t>- 사용 내역서, 증빙서류(당사, 협력회사)
- ERP 안전관리상황보고</t>
    <phoneticPr fontId="43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</si>
  <si>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교육훈련</t>
    </r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</si>
  <si>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-교육훈련 자원의 확보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안전보건 교육훈련 자료 및 자원을 확보하고 유지관리하는가?</t>
    </r>
    <r>
      <rPr>
        <sz val="10"/>
        <rFont val="CJ ONLYONE NEW 본문 Light"/>
        <family val="3"/>
        <charset val="129"/>
      </rPr>
      <t xml:space="preserve">
    · 교안 및 인프라 적정성 / 교육장 및 교육 시설 등
    · 별도의 구획을 지정하여 안전교육장 설치 (회의실 겸용 등 불인정)</t>
    </r>
    <phoneticPr fontId="4" type="noConversion"/>
  </si>
  <si>
    <t>- 교안, 교육장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</si>
  <si>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-신규 채용자 교육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신규 근로자 안전보건교육 및 방문객 안전보건교육을 실시하는가?</t>
    </r>
    <r>
      <rPr>
        <sz val="10"/>
        <rFont val="CJ ONLYONE NEW 본문 Light"/>
        <family val="3"/>
        <charset val="129"/>
      </rPr>
      <t xml:space="preserve">
    · 작업시작 전, 교육 이수시간 준수
    · 안전교육 강사 적정 - 시행규칙 33조
    · 기초안전보건교육 이수 여부 확인 (사본 보관)
    · 직무스트레스 등 법적 내용 교육 포함 (교안 작성)[시행규칙 별표5]
    · 직장 내 괴롭힘, 고객의 폭언 등으로 인한 건강장해 예방 및 관리에 관한 사항[시행규칙 별표5]</t>
    </r>
    <phoneticPr fontId="43" type="noConversion"/>
  </si>
  <si>
    <r>
      <t xml:space="preserve">- 교육일지(해당 위험성평가, MSDS 포함) </t>
    </r>
    <r>
      <rPr>
        <sz val="10"/>
        <color theme="1"/>
        <rFont val="Arial"/>
        <family val="2"/>
      </rPr>
      <t/>
    </r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</si>
  <si>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-근로자 정기 안전보건교육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근로자 정기 안전보건교육은 적정하게 실시하는가?</t>
    </r>
    <r>
      <rPr>
        <sz val="10"/>
        <rFont val="CJ ONLYONE NEW 본문 Light"/>
        <family val="3"/>
        <charset val="129"/>
      </rPr>
      <t xml:space="preserve">
    · 교육시간 준수(분기 6시간이상)    
    · 직무스트레스 등 법적 내용 교육 포함 (교안 작성)[시행규칙 별표5]
    · 교육 참석율/ 교육 불참자 재교육 등 누락자 조치
    · 교육교안, 사진대지, 참석자 서명지 등 첨부
    · 취약시기 및 국가적 이슈에 대한 사항 추가 (혹서기, 장마철, 동절기, 신종코로나 등)
    · 직장 내 괴롭힘, 고객의 폭언 등으로 인한 건강장해 예방 및 관리에 관한 사항[시행규칙 별표5]</t>
    </r>
    <phoneticPr fontId="4" type="noConversion"/>
  </si>
  <si>
    <t>- 교육일지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</si>
  <si>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-관리감독자 정기 안전보건 교육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관리감독자 정기 안전보건교육교육은 적정하게 실시하는가?</t>
    </r>
    <r>
      <rPr>
        <sz val="10"/>
        <rFont val="CJ ONLYONE NEW 본문 Light"/>
        <family val="3"/>
        <charset val="129"/>
      </rPr>
      <t xml:space="preserve">
    · 반기 8시간 이상 교육, 매월 교육 시행
    · 직무스트레스 등 법적 내용 교육 포함 (교안 작성)[시행규칙 별표5]
    · 관리감독자 교육이력 목록표 관리
    · 직장 내 괴롭힘, 고객의 폭언 등으로 인한 건강장해 예방 및 관리에 관한 사항[시행규칙 별표5]</t>
    </r>
    <phoneticPr fontId="4" type="noConversion"/>
  </si>
  <si>
    <r>
      <t>- 교육일지,  관리감독자 교육이력 목록표</t>
    </r>
    <r>
      <rPr>
        <sz val="10"/>
        <color theme="1"/>
        <rFont val="Arial"/>
        <family val="2"/>
      </rPr>
      <t/>
    </r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</si>
  <si>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-작업내용 변경시 근로자 교육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작업내용 변경시 추가 안전보건교육을 실시하는가?</t>
    </r>
    <r>
      <rPr>
        <sz val="10"/>
        <rFont val="CJ ONLYONE NEW 본문 Light"/>
        <family val="3"/>
        <charset val="129"/>
      </rPr>
      <t xml:space="preserve">
    · 작업내용에 변경과 관련된 사항[시행규칙 별표5]
    · 직무스트레스 등 법적 내용 교육 포함 (교안 작성)[시행규칙 별표5]
    · 신규 채용자 교육과 동일한 내용
    · 직장 내 괴롭힘, 고객의 폭언 등으로 인한 건강장해 예방 및 관리에 관한 사항[시행규칙 별표5]</t>
    </r>
    <phoneticPr fontId="4" type="noConversion"/>
  </si>
  <si>
    <r>
      <t>- 교육일지</t>
    </r>
    <r>
      <rPr>
        <sz val="10"/>
        <color theme="1"/>
        <rFont val="Arial"/>
        <family val="2"/>
      </rPr>
      <t/>
    </r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</si>
  <si>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-유해∙위험작업 근로자 특별교육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 xml:space="preserve">유해위험작업 근로자 특별 안전보건교육은 적정하게 실시하는가? </t>
    </r>
    <r>
      <rPr>
        <sz val="10"/>
        <rFont val="CJ ONLYONE NEW 본문 Light"/>
        <family val="3"/>
        <charset val="129"/>
      </rPr>
      <t xml:space="preserve">
    · 작업시작전 교육 이수시간 준수(2시간이상)  
    · 해당 대상작업별 교육내용 포함(교육 교안 작성)
    · 중점위험작업 대상 근로자 포함
    · 직종별 법적 교육내용포함[시행규칙 별표5]
    · 직장 내 괴롭힘, 고객의 폭언 등으로 인한 건강장해 예방 및 관리에 관한 사항[시행규칙 별표5]</t>
    </r>
    <phoneticPr fontId="4" type="noConversion"/>
  </si>
  <si>
    <t>- 교육일지</t>
    <phoneticPr fontId="43" type="noConversion"/>
  </si>
  <si>
    <t xml:space="preserve"> ■ 의사소통(직원1명, 협력사1명, 근로자1명)</t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</si>
  <si>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 xml:space="preserve">-위험성 평가 결과의 의사소통 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위험성 평가 결과에 대해서 관계자와 의사소통하고 있는가?</t>
    </r>
    <r>
      <rPr>
        <sz val="10"/>
        <rFont val="CJ ONLYONE NEW 본문 Light"/>
        <family val="3"/>
        <charset val="129"/>
      </rPr>
      <t xml:space="preserve">
    · 시공계획에 반영, TBM, 안전교육 및 협의회 시 의사소통, 인터뷰</t>
    </r>
    <phoneticPr fontId="43" type="noConversion"/>
  </si>
  <si>
    <t>- 위험성평가표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</si>
  <si>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-점검,관찰결과의 의사소통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안전보건 점검 및 관찰결과들은 효과적으로 의사소통 되는가?</t>
    </r>
    <r>
      <rPr>
        <sz val="10"/>
        <rFont val="CJ ONLYONE NEW 본문 Light"/>
        <family val="3"/>
        <charset val="129"/>
      </rPr>
      <t xml:space="preserve">
    · 관련 회의록, 인터뷰</t>
    </r>
    <phoneticPr fontId="6" type="noConversion"/>
  </si>
  <si>
    <r>
      <t xml:space="preserve">- S-CAR, 안전보건 점검 관찰일지, </t>
    </r>
    <r>
      <rPr>
        <sz val="10"/>
        <color rgb="FFFF0000"/>
        <rFont val="CJ ONLYONE NEW 본문 Regular"/>
        <family val="3"/>
        <charset val="129"/>
      </rPr>
      <t>SNS</t>
    </r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</si>
  <si>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-안전 정책 및 사고사례의 의사소통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회사의 안전정책, 사고사례 및 재발방지대책에 대하여 의사소통하고 있는가?</t>
    </r>
    <r>
      <rPr>
        <sz val="10"/>
        <rFont val="CJ ONLYONE NEW 본문 Light"/>
        <family val="3"/>
        <charset val="129"/>
      </rPr>
      <t xml:space="preserve">
    · 업무연락 회람 또는 공유 관련 자료, 관계자 인터뷰</t>
    </r>
    <phoneticPr fontId="43" type="noConversion"/>
  </si>
  <si>
    <t>- 업무연락, 운영안, 사고사례</t>
    <phoneticPr fontId="43" type="noConversion"/>
  </si>
  <si>
    <t xml:space="preserve"> ■ 노사협의체 회의(산업안전보건협의회) - 해당 대상별 평가</t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</si>
  <si>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-노사협의체 실시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노사협의체 회의(또는 안전보건협의회)를 적정하게 시행하고 있는가?</t>
    </r>
    <r>
      <rPr>
        <sz val="10"/>
        <rFont val="CJ ONLYONE NEW 본문 Light"/>
        <family val="3"/>
        <charset val="129"/>
      </rPr>
      <t xml:space="preserve">
    · 노사 협의체 구성 및 참여                                                                                                               
      1)사업주 및 근로자 위원 (조직도 첨부)
      2)근로자 대표의 선정 [선정과정 사진대지(거수 등), 선임지정서(날인본)]
      3)명예산업안전감독관 지정근로자 선정 [선정과정 사진대지(거수 등), 선임지정서(날인본)]
    · 시행 주기(2개월 1회)
    · 회의 결과의 기록 및 의사소통
    · 보건관리자 선임대상 현장은 사업주 구성원 포함
    · 명예산업안전감독관 or 지정근로자 근로자 구성원 포함
  </t>
    </r>
    <r>
      <rPr>
        <b/>
        <sz val="10"/>
        <rFont val="CJ ONLYONE NEW 본문 Light"/>
        <family val="3"/>
        <charset val="129"/>
      </rPr>
      <t xml:space="preserve">산업안전보건위원회 실시현장은 위험성평가 회의(2주 1회) 자료에 안전보건협의체회의 내용 작성할 것
</t>
    </r>
    <r>
      <rPr>
        <b/>
        <sz val="10"/>
        <color rgb="FF0070C0"/>
        <rFont val="CJ ONLYONE NEW 본문 Light"/>
        <family val="3"/>
        <charset val="129"/>
      </rPr>
      <t>- 산업안전보건위원회 실시</t>
    </r>
    <r>
      <rPr>
        <b/>
        <sz val="10"/>
        <rFont val="CJ ONLYONE NEW 본문 Light"/>
        <family val="3"/>
        <charset val="129"/>
      </rPr>
      <t xml:space="preserve">
    </t>
    </r>
    <r>
      <rPr>
        <sz val="10"/>
        <rFont val="CJ ONLYONE NEW 본문 Light"/>
        <family val="3"/>
        <charset val="129"/>
      </rPr>
      <t>· 3개월/1회 진행
     · 사용자,근로자측 동수
     · 근로자대표,명예감독관, 근로자 9명이내
     · 근로자 대표, 명예산업안전감독관(지정 근로자) 포함여부
     · 전회차 건의사항 Feed Back 여부</t>
    </r>
    <r>
      <rPr>
        <b/>
        <sz val="10"/>
        <rFont val="CJ ONLYONE NEW 본문 Light"/>
        <family val="3"/>
        <charset val="129"/>
      </rPr>
      <t xml:space="preserve">
</t>
    </r>
    <r>
      <rPr>
        <b/>
        <sz val="10"/>
        <color rgb="FF0070C0"/>
        <rFont val="CJ ONLYONE NEW 본문 Light"/>
        <family val="3"/>
        <charset val="129"/>
      </rPr>
      <t>- 안전보건협의체 실시</t>
    </r>
    <r>
      <rPr>
        <b/>
        <sz val="10"/>
        <rFont val="CJ ONLYONE NEW 본문 Light"/>
        <family val="3"/>
        <charset val="129"/>
      </rPr>
      <t xml:space="preserve">
    </t>
    </r>
    <r>
      <rPr>
        <sz val="10"/>
        <rFont val="CJ ONLYONE NEW 본문 Light"/>
        <family val="3"/>
        <charset val="129"/>
      </rPr>
      <t xml:space="preserve">· 도급인사업주/ 수급인사업주 전원구성  
     · 작업의 시작시간, 연락방법 및 대피방법 등 협의
     · 매월 1회 이상 정기적으로 회의를 개최 결과를 기록·보존
</t>
    </r>
    <r>
      <rPr>
        <b/>
        <sz val="10"/>
        <color rgb="FF0070C0"/>
        <rFont val="CJ ONLYONE NEW 본문 Light"/>
        <family val="3"/>
        <charset val="129"/>
      </rPr>
      <t xml:space="preserve">- 안전 리더십 투어 리포트 실시
</t>
    </r>
    <r>
      <rPr>
        <sz val="10"/>
        <color rgb="FFFF0000"/>
        <rFont val="CJ ONLYONE NEW 본문 Light"/>
        <family val="3"/>
        <charset val="129"/>
      </rPr>
      <t xml:space="preserve">    · 경영진 근로자 의견청취 여부
    · 건의사항 Feed Back 여부</t>
    </r>
    <phoneticPr fontId="6" type="noConversion"/>
  </si>
  <si>
    <t>- 협의회 회의록, 자료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</si>
  <si>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-협의 및 심의∙의결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노사협의체의 협의 및 심의∙의결 사항은 적정한가?</t>
    </r>
    <r>
      <rPr>
        <sz val="10"/>
        <rFont val="CJ ONLYONE NEW 본문 Light"/>
        <family val="3"/>
        <charset val="129"/>
      </rPr>
      <t xml:space="preserve">
    ∙ 협의사항
      유해위험요인 파악 및 위험성 평가, 안전대책의 수립 및 이행
      안전보건 성과 모니터링 결과 및 개선대책 등 포함
      전회차 건의사항 Feed Back 여부
    ∙ 심의·의결사항
      안전보건 방침, 목표, 중점실시사항 및 사고예방 계획 수립
      신규 유해·위험 기계, 기구 및 설비 안전보건 조치 등 포함
      심의의결사항 기록 및 찬성/반대 여부</t>
    </r>
    <phoneticPr fontId="6" type="noConversion"/>
  </si>
  <si>
    <t>- 협의회 회의록</t>
    <phoneticPr fontId="43" type="noConversion"/>
  </si>
  <si>
    <t xml:space="preserve"> ■ 협력회사 안전관리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</si>
  <si>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-안전조직 구성 및 R&amp;R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협력회사의 안전조직 구성 및 안전 R&amp;R은 적정하게 수립되어 있는가?</t>
    </r>
    <r>
      <rPr>
        <sz val="10"/>
        <rFont val="CJ ONLYONE NEW 본문 Light"/>
        <family val="3"/>
        <charset val="129"/>
      </rPr>
      <t xml:space="preserve">
    · 협력회사 관리책임자, 안전관리자(담당자) 선임
    · 안전조직 구성 /  관리감독자 안전 R&amp;R
    · 협력업체 안전평가 실시(ERP)</t>
    </r>
    <phoneticPr fontId="4" type="noConversion"/>
  </si>
  <si>
    <t>- 시공계획서, 관리책임자 지정서, 
   안전관리자 선임 신고서</t>
    <phoneticPr fontId="43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</si>
  <si>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보건관리</t>
    </r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</si>
  <si>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-보건 조직 및 R&amp;R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 보건 조직구성 및 R&amp;R은 수립되었는가?</t>
    </r>
    <r>
      <rPr>
        <sz val="10"/>
        <rFont val="CJ ONLYONE NEW 본문 Light"/>
        <family val="3"/>
        <charset val="129"/>
      </rPr>
      <t xml:space="preserve">
    · 보건관리자 배치 및 선임 기준(현장 개설 시 즉시선임 후 선임일로부터 14일 이내 신고)
    · 보건관리자 자격
    · 보건관리자의 직무 (산업안전보건법 시행령 제17조 참조)
    · 직무교육(보건관리자 선임 신고를 할 경우)</t>
    </r>
    <phoneticPr fontId="4" type="noConversion"/>
  </si>
  <si>
    <t>- 조직도, 업무분장표,  보건관리자 선임신고서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</si>
  <si>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-작업환경 측정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 xml:space="preserve">작업환경 측정 시행, 기관 선정, 계약 및 정산은 적정하게 이루어지고 있는가? </t>
    </r>
    <r>
      <rPr>
        <sz val="10"/>
        <rFont val="CJ ONLYONE NEW 본문 Light"/>
        <family val="3"/>
        <charset val="129"/>
      </rPr>
      <t xml:space="preserve">
    · 복수 견적 실시 여부
</t>
    </r>
    <r>
      <rPr>
        <sz val="10"/>
        <color theme="1"/>
        <rFont val="CJ ONLYONE NEW 본문 Light"/>
        <family val="3"/>
        <charset val="129"/>
      </rPr>
      <t xml:space="preserve">    · 작업환경측정 기관 해당지청 등록 여부 (지정관계비치)</t>
    </r>
    <r>
      <rPr>
        <sz val="10"/>
        <rFont val="CJ ONLYONE NEW 본문 Light"/>
        <family val="3"/>
        <charset val="129"/>
      </rPr>
      <t xml:space="preserve">
    · 계약내용의 적정성
    · 작업환경 측정기준 준수(법규, 발주처 요구사항 등)
      1) 측정대상이 된 경우 최초 30일 이내, 이후 6개월에 1회 정기적 측정
     ∙ 측정결과 보고</t>
    </r>
    <phoneticPr fontId="4" type="noConversion"/>
  </si>
  <si>
    <t>- 견적서 및 기관 평가표, 품의서
- 계약서, 법무팀 검토 결과
- 작업환경 측정 결과표, 정산 내역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</si>
  <si>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-보건관리 프로그램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혹한기, 혹서기, 밀폐공간 등의 안전보건 계획 또는 프로그램을 수립, 시행하고 있는가?</t>
    </r>
    <r>
      <rPr>
        <sz val="10"/>
        <rFont val="CJ ONLYONE NEW 본문 Light"/>
        <family val="3"/>
        <charset val="129"/>
      </rPr>
      <t xml:space="preserve">
    · 작업환경 측정결과 노출기준 초과시 개선대책 수립 및 건강진단 실시 [시행규칙 94조]
</t>
    </r>
    <r>
      <rPr>
        <sz val="10"/>
        <color rgb="FFFF0000"/>
        <rFont val="CJ ONLYONE NEW 본문 Light"/>
        <family val="3"/>
        <charset val="129"/>
      </rPr>
      <t xml:space="preserve">    · 혹한기, 혹서기 안전보건관리계획 수립 및 시행 여부</t>
    </r>
    <r>
      <rPr>
        <sz val="10"/>
        <rFont val="CJ ONLYONE NEW 본문 Light"/>
        <family val="3"/>
        <charset val="129"/>
      </rPr>
      <t xml:space="preserve">
      1) 폭염, 혹한에 의한 열사병, 동상 등의 예방 프로그램 
    · 밀폐공간 프로그램</t>
    </r>
    <phoneticPr fontId="4" type="noConversion"/>
  </si>
  <si>
    <t>- 작업환경 측정결과, 개선 대책, 특수 건강진단 결과
- 혹한기, 혹서기 안전보건관리 계획
- 밀폐공간 프로그램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</si>
  <si>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-건강진단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 xml:space="preserve">건강진단 시행, 병원 선정, 계약 및 정산은 적정하게 이루어지고 있는가? </t>
    </r>
    <r>
      <rPr>
        <sz val="10"/>
        <rFont val="CJ ONLYONE NEW 본문 Light"/>
        <family val="3"/>
        <charset val="129"/>
      </rPr>
      <t xml:space="preserve">
    · 복수 견적
    · 계약내용의 적정성
    · 건강검진 기준 준수(법규, 발주처 요구사항 등)
      1) 일반 건강검진(1년 이상)
      2) 배치전/특수/야간근로자 건강검진
      3) 취약 근로자 관리(고혈압, 고령자 등 질병유소견자 관리대장)
      4) 경비 야간근로자 특수건강검진 확인
      5) 60세이상 고령근로자 명단 관리(위험작업 제한) 및 건강검진 실시 여부
      6) 65세 이상 근로자 채용사유서 작성 및 본사 공유 여부</t>
    </r>
    <phoneticPr fontId="4" type="noConversion"/>
  </si>
  <si>
    <t>- 견적서 및 병원 평가표, 품의서
- 계약서, 법무팀 검토 결과
- 건강진단 결과서(일반, 특수), 취약 근로자 관리대장
- 정산 내역</t>
    <phoneticPr fontId="4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</si>
  <si>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비상사태 대비 및 대응</t>
    </r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</si>
  <si>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-비상사태 대응 계획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발생 가능한 비상상황을 파악하고 이에 대한 비상사태 대응 계획을 수립하였는가?</t>
    </r>
    <r>
      <rPr>
        <sz val="10"/>
        <rFont val="CJ ONLYONE NEW 본문 Light"/>
        <family val="3"/>
        <charset val="129"/>
      </rPr>
      <t xml:space="preserve">
    · 비상사태 계획서
      1) 파악된 비상상황 별 비상계획 수립(현장 특성 반영)  
      2) 비상훈련 (1회이상/분기). 훈련 시나리오</t>
    </r>
    <phoneticPr fontId="4" type="noConversion"/>
  </si>
  <si>
    <t>- 비상사태 대응 계획서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</si>
  <si>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-비상사태 대응 자원 준비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파악된 비상상황에 대응하기 위한 적절한 자원들을 준비, 비치 하였는가?</t>
    </r>
    <r>
      <rPr>
        <sz val="10"/>
        <rFont val="CJ ONLYONE NEW 본문 Light"/>
        <family val="3"/>
        <charset val="129"/>
      </rPr>
      <t xml:space="preserve">
    ∙ 비상 대응반, 감지 및 경보 체계, 비상 대응장비, 보호구, 비상사태 대응 전문기관(구조, 후송, 치료 등)</t>
    </r>
    <phoneticPr fontId="4" type="noConversion"/>
  </si>
  <si>
    <t>- 비상사태 대응 계획서, 대응 자원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</si>
  <si>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-비상사태 대응 교육훈련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비상사태 대응 교육훈련을 주기적으로 실시하고 있는가?</t>
    </r>
    <r>
      <rPr>
        <sz val="10"/>
        <rFont val="CJ ONLYONE NEW 본문 Light"/>
        <family val="3"/>
        <charset val="129"/>
      </rPr>
      <t xml:space="preserve">
    · 비상사태 대응 훈련 계획 이행 여부(1회이상/분기)
      1) 훈련 시 관련 근로자 참여, 시나리오 활용
      2) 훈련결과보고서 작성 및 효과성 평가, 개선 (참석율 80% 이상 확보)</t>
    </r>
    <phoneticPr fontId="4" type="noConversion"/>
  </si>
  <si>
    <t>- 비상사태 훈련 일지, 시나리오</t>
    <phoneticPr fontId="43" type="noConversion"/>
  </si>
  <si>
    <r>
      <t xml:space="preserve"> </t>
    </r>
    <r>
      <rPr>
        <b/>
        <sz val="10"/>
        <color indexed="8"/>
        <rFont val="CJ ONLYONE NEW 본문 Light"/>
        <family val="3"/>
        <charset val="129"/>
      </rPr>
      <t>■ 안전보건 점검, 관찰</t>
    </r>
    <phoneticPr fontId="6" type="noConversion"/>
  </si>
  <si>
    <r>
      <rPr>
        <b/>
        <sz val="10"/>
        <color rgb="FF0070C0"/>
        <rFont val="CJ ONLYONE NEW 본문 Light"/>
        <family val="3"/>
        <charset val="129"/>
      </rPr>
      <t>-위험작업승인서(밀폐, 고소, 화기, 정전작업 등)</t>
    </r>
    <r>
      <rPr>
        <sz val="10"/>
        <rFont val="CJ ONLYONE NEW 본문 Light"/>
        <family val="3"/>
        <charset val="129"/>
      </rPr>
      <t xml:space="preserve">
</t>
    </r>
    <r>
      <rPr>
        <b/>
        <sz val="10"/>
        <rFont val="CJ ONLYONE NEW 본문 Light"/>
        <family val="3"/>
        <charset val="129"/>
      </rPr>
      <t xml:space="preserve">  위험작업 승인은 기준대로 이뤄지고 있는가?</t>
    </r>
    <r>
      <rPr>
        <sz val="10"/>
        <rFont val="CJ ONLYONE NEW 본문 Light"/>
        <family val="3"/>
        <charset val="129"/>
      </rPr>
      <t xml:space="preserve">
    · 제출기한 준수 여부(해당 작업 전일)
    · 위험요소 및 안전대책 작성 여부
    · 작업구역 내 위험작업승인서 비치여부 
    · 화재감시자 지정 및 지정서 작성여부</t>
    </r>
    <phoneticPr fontId="43" type="noConversion"/>
  </si>
  <si>
    <t>- 작업 안전허가서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</si>
  <si>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 xml:space="preserve">-합동안전보건점검(2월/1회)
</t>
    </r>
    <r>
      <rPr>
        <b/>
        <sz val="10"/>
        <color theme="1"/>
        <rFont val="CJ ONLYONE NEW 본문 Light"/>
        <family val="3"/>
        <charset val="129"/>
      </rPr>
      <t xml:space="preserve">  합동안전점검을 실시되고 있는가?</t>
    </r>
    <r>
      <rPr>
        <sz val="10"/>
        <color theme="1"/>
        <rFont val="CJ ONLYONE NEW 본문 Light"/>
        <family val="3"/>
        <charset val="129"/>
      </rPr>
      <t xml:space="preserve">
    · 구성 : 도급인, 관계수급인, 도급인 및 관계수급인의 근로자 각 1명
    · 참석자 서명 기록 관리 / 점검결과 feed-Back 유무
    · 당일 출역 협력사 현장소장 및 근로자대표 전체 인원으로 구성</t>
    </r>
    <phoneticPr fontId="43" type="noConversion"/>
  </si>
  <si>
    <t>- 사업주 안전보건 순회점검 일지, Self Inspection 일지
- 도급사업 합동점검 일지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</si>
  <si>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 xml:space="preserve">-현장소장 점검 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현장소장(도급사업 사업주)은 순회점검을 시행하는가?</t>
    </r>
    <r>
      <rPr>
        <sz val="10"/>
        <rFont val="CJ ONLYONE NEW 본문 Light"/>
        <family val="3"/>
        <charset val="129"/>
      </rPr>
      <t xml:space="preserve">
    · 사업주 안전보건 순회점검
      1) 점검 주기 : 2일 1회이상 실시
      2) 점검 결과에 대한 조치 여부 (기록관리/수기작업) 
      3) 부재시 대리자 지정 및 조치결과 확인
      4) 점검결과 Feed Back 실시여부 (현장소장 의견사항)</t>
    </r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</si>
  <si>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-안전관리자 점검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안전관리자는 안전 점검∙관찰을 적정하게 시행하는가?</t>
    </r>
    <r>
      <rPr>
        <sz val="10"/>
        <rFont val="CJ ONLYONE NEW 본문 Light"/>
        <family val="3"/>
        <charset val="129"/>
      </rPr>
      <t xml:space="preserve">
    · 안전보건 점검·관찰 일지 /  안전보조원, 시설반 업무일지 포함</t>
    </r>
    <phoneticPr fontId="4" type="noConversion"/>
  </si>
  <si>
    <t>- 안전보건 점검·관찰 일지, S-CAR</t>
    <phoneticPr fontId="43" type="noConversion"/>
  </si>
  <si>
    <t xml:space="preserve"> ■ 사고관리</t>
    <phoneticPr fontId="4" type="noConversion"/>
  </si>
  <si>
    <r>
      <rPr>
        <b/>
        <sz val="10"/>
        <color rgb="FF0070C0"/>
        <rFont val="CJ ONLYONE NEW 본문 Light"/>
        <family val="3"/>
        <charset val="129"/>
      </rPr>
      <t>-사고 보고/기록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모든 사고를 보고 및 기록관리하고 있는가?(보정값 사고 기준 적용)</t>
    </r>
    <r>
      <rPr>
        <sz val="10"/>
        <rFont val="CJ ONLYONE NEW 본문 Light"/>
        <family val="3"/>
        <charset val="129"/>
      </rPr>
      <t xml:space="preserve">
    · 사고보고 절차 준수 
      : AMS 보고 체계 준수 (2시간 이내 SNS보고, 48시간 이내 서면보고)
</t>
    </r>
    <r>
      <rPr>
        <sz val="10"/>
        <color rgb="FFFF0000"/>
        <rFont val="CJ ONLYONE NEW 본문 Light"/>
        <family val="3"/>
        <charset val="129"/>
      </rPr>
      <t xml:space="preserve">    · 산재 요양신청서 제출 서류(3년간)
    · 산업재해조사표(3년간)
    · 사고보고서(아차사고 기록)</t>
    </r>
    <phoneticPr fontId="4" type="noConversion"/>
  </si>
  <si>
    <t>- 사고기록 등록부, ERP
- 기성지급 시 사고사실 확인서,  교육일지(은폐 예방)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</si>
  <si>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-사고 조사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모든 사고에 대해 사고조사 후 원인을 파악하고 재발방지대책을 수립하는가?</t>
    </r>
    <r>
      <rPr>
        <sz val="10"/>
        <rFont val="CJ ONLYONE NEW 본문 Light"/>
        <family val="3"/>
        <charset val="129"/>
      </rPr>
      <t xml:space="preserve">
    · 사고조사 및 원인분석으로 재발방지 대책 수립</t>
    </r>
    <phoneticPr fontId="4" type="noConversion"/>
  </si>
  <si>
    <t>- 사고보고서, 재해예방토론회 자료</t>
    <phoneticPr fontId="43" type="noConversion"/>
  </si>
  <si>
    <r>
      <rPr>
        <b/>
        <sz val="10"/>
        <color rgb="FF0070C0"/>
        <rFont val="CJ ONLYONE NEW 본문 Light"/>
        <family val="3"/>
        <charset val="129"/>
      </rPr>
      <t>-사고 분석 및 개선</t>
    </r>
    <r>
      <rPr>
        <sz val="10"/>
        <rFont val="CJ ONLYONE NEW 본문 Light"/>
        <family val="3"/>
        <charset val="129"/>
      </rPr>
      <t xml:space="preserve">
  </t>
    </r>
    <r>
      <rPr>
        <b/>
        <sz val="10"/>
        <rFont val="CJ ONLYONE NEW 본문 Light"/>
        <family val="3"/>
        <charset val="129"/>
      </rPr>
      <t>현장은 안전보건사고의 원인분석 및 위험성을 파악하여 유사사고 예방, 안전보건관리 개선에 활용하고 있는가?</t>
    </r>
    <r>
      <rPr>
        <sz val="10"/>
        <rFont val="CJ ONLYONE NEW 본문 Light"/>
        <family val="3"/>
        <charset val="129"/>
      </rPr>
      <t xml:space="preserve">
    · 모든 사고는 정기적으로 공종, 유형 등의 경향분석 및 위험성 파악
    · 도출된 취약요소는 개선안 수립, 위험성 평가 반영 등 개선에 활용
    · 재발방지 대책의 이행으로 유사사고 예방</t>
    </r>
    <phoneticPr fontId="4" type="noConversion"/>
  </si>
  <si>
    <t>- 사고 경향분석 자료, 위험성 평가표, 경영검토자료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</si>
</sst>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CJ ONLYONE NEW 본문 Light"/>
      <family val="3"/>
      <charset val="129"/>
    </font>
    <font>
      <sz val="8"/>
      <name val="맑은 고딕"/>
      <family val="3"/>
      <charset val="129"/>
      <scheme val="minor"/>
    </font>
    <font>
      <b/>
      <sz val="24"/>
      <color indexed="8"/>
      <name val="CJ ONLYONE NEW 본문 Light"/>
      <family val="3"/>
      <charset val="129"/>
    </font>
    <font>
      <sz val="8"/>
      <name val="맑은 고딕"/>
      <family val="3"/>
      <charset val="129"/>
    </font>
    <font>
      <b/>
      <sz val="11"/>
      <color rgb="FF3366FF"/>
      <name val="CJ ONLYONE NEW 본문 Light"/>
      <family val="3"/>
      <charset val="129"/>
    </font>
    <font>
      <b/>
      <sz val="24"/>
      <name val="CJ ONLYONE NEW 본문 Light"/>
      <family val="3"/>
      <charset val="129"/>
    </font>
    <font>
      <sz val="10"/>
      <color theme="1"/>
      <name val="CJ ONLYONE NEW 본문 Light"/>
      <family val="3"/>
      <charset val="129"/>
    </font>
    <font>
      <b/>
      <sz val="11"/>
      <color theme="1"/>
      <name val="CJ ONLYONE NEW 본문 Light"/>
      <family val="3"/>
      <charset val="129"/>
    </font>
    <font>
      <b/>
      <sz val="11"/>
      <name val="CJ ONLYONE NEW 본문 Light"/>
      <family val="3"/>
      <charset val="129"/>
    </font>
    <font>
      <sz val="11"/>
      <name val="돋움"/>
      <family val="3"/>
      <charset val="129"/>
    </font>
    <font>
      <b/>
      <sz val="9"/>
      <color rgb="FFFF0000"/>
      <name val="CJ ONLYONE NEW 본문 Light"/>
      <family val="3"/>
      <charset val="129"/>
    </font>
    <font>
      <b/>
      <sz val="11"/>
      <color rgb="FFFF0000"/>
      <name val="CJ ONLYONE NEW 본문 Light"/>
      <family val="3"/>
      <charset val="129"/>
    </font>
    <font>
      <b/>
      <sz val="10"/>
      <color theme="1"/>
      <name val="CJ ONLYONE NEW 본문 Light"/>
      <family val="3"/>
      <charset val="129"/>
    </font>
    <font>
      <b/>
      <sz val="10"/>
      <color indexed="8"/>
      <name val="CJ ONLYONE NEW 본문 Light"/>
      <family val="3"/>
      <charset val="129"/>
    </font>
    <font>
      <b/>
      <sz val="9"/>
      <color rgb="FF0000FF"/>
      <name val="CJ ONLYONE NEW 본문 Light"/>
      <family val="3"/>
      <charset val="129"/>
    </font>
    <font>
      <b/>
      <sz val="11"/>
      <color rgb="FF0000FF"/>
      <name val="CJ ONLYONE NEW 본문 Light"/>
      <family val="3"/>
      <charset val="129"/>
    </font>
    <font>
      <sz val="10"/>
      <color rgb="FFFF0000"/>
      <name val="CJ ONLYONE NEW 본문 Light"/>
      <family val="3"/>
      <charset val="129"/>
    </font>
    <font>
      <sz val="9"/>
      <color theme="1"/>
      <name val="CJ ONLYONE NEW 본문 Light"/>
      <family val="3"/>
      <charset val="129"/>
    </font>
    <font>
      <b/>
      <sz val="9"/>
      <color theme="1"/>
      <name val="CJ ONLYONE NEW 본문 Light"/>
      <family val="3"/>
      <charset val="129"/>
    </font>
    <font>
      <sz val="9"/>
      <color rgb="FFFF0000"/>
      <name val="CJ ONLYONE NEW 본문 Light"/>
      <family val="3"/>
      <charset val="129"/>
    </font>
    <font>
      <sz val="9"/>
      <name val="CJ ONLYONE NEW 본문 Light"/>
      <family val="3"/>
      <charset val="129"/>
    </font>
    <font>
      <b/>
      <sz val="10"/>
      <color rgb="FF0000FF"/>
      <name val="CJ ONLYONE NEW 본문 Light"/>
      <family val="3"/>
      <charset val="129"/>
    </font>
    <font>
      <sz val="10"/>
      <color rgb="FF0000FF"/>
      <name val="CJ ONLYONE NEW 본문 Light"/>
      <family val="3"/>
      <charset val="129"/>
    </font>
    <font>
      <sz val="10"/>
      <name val="CJ ONLYONE NEW 본문 Light"/>
      <family val="3"/>
      <charset val="129"/>
    </font>
    <font>
      <b/>
      <sz val="10"/>
      <name val="CJ ONLYONE NEW 본문 Light"/>
      <family val="3"/>
      <charset val="129"/>
    </font>
    <font>
      <b/>
      <sz val="10"/>
      <color rgb="FFFF0000"/>
      <name val="CJ ONLYONE NEW 본문 Light"/>
      <family val="3"/>
      <charset val="129"/>
    </font>
    <font>
      <b/>
      <sz val="9"/>
      <name val="CJ ONLYONE NEW 본문 Light"/>
      <family val="3"/>
      <charset val="129"/>
    </font>
    <font>
      <sz val="9"/>
      <color rgb="FF0000FF"/>
      <name val="CJ ONLYONE NEW 본문 Light"/>
      <family val="3"/>
      <charset val="129"/>
    </font>
    <font>
      <b/>
      <sz val="10"/>
      <color theme="1"/>
      <name val="CJ ONLYONE NEW 본문 Regular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3366FF"/>
      <name val="맑은 고딕"/>
      <family val="3"/>
      <charset val="129"/>
      <scheme val="minor"/>
    </font>
    <font>
      <b/>
      <sz val="11"/>
      <color rgb="FF0000FF"/>
      <name val="CJ ONLYONE NEW 본문 Regular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3366FF"/>
      <name val="맑은 고딕"/>
      <family val="3"/>
      <charset val="129"/>
      <scheme val="minor"/>
    </font>
    <font>
      <sz val="11"/>
      <color theme="1"/>
      <name val="CJ ONLYONE NEW 본문 Regular"/>
      <family val="3"/>
      <charset val="129"/>
    </font>
    <font>
      <b/>
      <sz val="11"/>
      <color theme="1"/>
      <name val="CJ ONLYONE NEW 본문 Regular"/>
      <family val="3"/>
      <charset val="129"/>
    </font>
    <font>
      <b/>
      <sz val="8"/>
      <color rgb="FFFF0000"/>
      <name val="CJ ONLYONE NEW 본문 Light"/>
      <family val="3"/>
      <charset val="129"/>
    </font>
    <font>
      <b/>
      <sz val="8"/>
      <name val="CJ ONLYONE NEW 본문 Light"/>
      <family val="3"/>
      <charset val="129"/>
    </font>
    <font>
      <b/>
      <sz val="11"/>
      <color rgb="FFFF0000"/>
      <name val="CJ ONLYONE NEW 본문 Regular"/>
      <family val="3"/>
      <charset val="129"/>
    </font>
    <font>
      <b/>
      <sz val="10"/>
      <color rgb="FF0070C0"/>
      <name val="CJ ONLYONE NEW 본문 Light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CJ ONLYONE NEW 본문 Regular"/>
      <family val="3"/>
      <charset val="129"/>
    </font>
    <font>
      <sz val="10"/>
      <name val="CJ ONLYONE NEW 본문 Regular"/>
      <family val="3"/>
      <charset val="129"/>
    </font>
    <font>
      <sz val="10"/>
      <color rgb="FFFF0000"/>
      <name val="CJ ONLYONE NEW 본문 Regular"/>
      <family val="3"/>
      <charset val="129"/>
    </font>
    <font>
      <sz val="10"/>
      <color rgb="FF00B0F0"/>
      <name val="CJ ONLYONE NEW 본문 Regular"/>
      <family val="3"/>
      <charset val="129"/>
    </font>
    <font>
      <b/>
      <sz val="9"/>
      <color rgb="FF0000FF"/>
      <name val="CJ ONLYONE NEW 본문 Regular"/>
      <family val="3"/>
      <charset val="129"/>
    </font>
    <font>
      <sz val="10"/>
      <color theme="1"/>
      <name val="CJ ONLYONE NEW 본문 Regular"/>
      <family val="3"/>
      <charset val="129"/>
    </font>
    <font>
      <sz val="10"/>
      <color theme="1"/>
      <name val="Arial"/>
      <family val="2"/>
    </font>
    <font>
      <sz val="8"/>
      <color theme="1"/>
      <name val="CJ ONLYONE NEW 본문 Light"/>
      <family val="3"/>
      <charset val="129"/>
    </font>
    <font>
      <sz val="9"/>
      <color indexed="8"/>
      <name val="CJ ONLYONE NEW 본문 Light"/>
      <family val="3"/>
      <charset val="129"/>
    </font>
    <font>
      <sz val="9"/>
      <name val="CJ ONLYONE NEW 본문 Regular"/>
      <family val="3"/>
      <charset val="129"/>
    </font>
    <font>
      <b/>
      <sz val="9"/>
      <color theme="1"/>
      <name val="CJ ONLYONE NEW 본문 Regular"/>
      <family val="3"/>
      <charset val="129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2" fillId="0" borderId="0">
      <alignment vertical="center"/>
    </xf>
    <xf numFmtId="0" fontId="1" fillId="0" borderId="0">
      <alignment vertical="center"/>
    </xf>
  </cellStyleXfs>
  <cellXfs count="28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1" fillId="4" borderId="9" xfId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9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left" vertical="center"/>
    </xf>
    <xf numFmtId="0" fontId="17" fillId="6" borderId="13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176" fontId="18" fillId="6" borderId="13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76" fontId="21" fillId="0" borderId="17" xfId="0" applyNumberFormat="1" applyFont="1" applyBorder="1" applyAlignment="1">
      <alignment horizontal="center" vertical="center"/>
    </xf>
    <xf numFmtId="0" fontId="22" fillId="0" borderId="18" xfId="0" quotePrefix="1" applyFont="1" applyFill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19" fillId="8" borderId="16" xfId="0" applyFont="1" applyFill="1" applyBorder="1" applyAlignment="1">
      <alignment horizontal="left" vertical="center" wrapText="1"/>
    </xf>
    <xf numFmtId="0" fontId="18" fillId="8" borderId="17" xfId="0" applyFont="1" applyFill="1" applyBorder="1" applyAlignment="1">
      <alignment horizontal="center" vertical="center"/>
    </xf>
    <xf numFmtId="176" fontId="21" fillId="8" borderId="17" xfId="0" applyNumberFormat="1" applyFont="1" applyFill="1" applyBorder="1" applyAlignment="1">
      <alignment horizontal="center" vertical="center"/>
    </xf>
    <xf numFmtId="0" fontId="23" fillId="0" borderId="18" xfId="0" quotePrefix="1" applyFont="1" applyFill="1" applyBorder="1" applyAlignment="1">
      <alignment horizontal="left" vertical="center"/>
    </xf>
    <xf numFmtId="0" fontId="23" fillId="0" borderId="18" xfId="0" quotePrefix="1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left" vertical="center" wrapText="1"/>
    </xf>
    <xf numFmtId="0" fontId="22" fillId="0" borderId="18" xfId="0" quotePrefix="1" applyFont="1" applyFill="1" applyBorder="1" applyAlignment="1">
      <alignment horizontal="left" vertical="center" wrapText="1"/>
    </xf>
    <xf numFmtId="0" fontId="3" fillId="8" borderId="19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left" vertical="center" wrapText="1"/>
    </xf>
    <xf numFmtId="0" fontId="20" fillId="0" borderId="1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9" fillId="0" borderId="22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76" fontId="21" fillId="0" borderId="23" xfId="0" applyNumberFormat="1" applyFont="1" applyBorder="1" applyAlignment="1">
      <alignment horizontal="center" vertical="center"/>
    </xf>
    <xf numFmtId="0" fontId="23" fillId="8" borderId="24" xfId="0" quotePrefix="1" applyFont="1" applyFill="1" applyBorder="1" applyAlignment="1">
      <alignment horizontal="left" vertical="center" wrapText="1"/>
    </xf>
    <xf numFmtId="0" fontId="9" fillId="6" borderId="25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left" vertical="center"/>
    </xf>
    <xf numFmtId="0" fontId="17" fillId="6" borderId="27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176" fontId="18" fillId="6" borderId="27" xfId="0" applyNumberFormat="1" applyFont="1" applyFill="1" applyBorder="1" applyAlignment="1">
      <alignment horizontal="center" vertical="center"/>
    </xf>
    <xf numFmtId="0" fontId="23" fillId="6" borderId="28" xfId="0" quotePrefix="1" applyFont="1" applyFill="1" applyBorder="1" applyAlignment="1">
      <alignment horizontal="left" vertical="center"/>
    </xf>
    <xf numFmtId="0" fontId="18" fillId="7" borderId="2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6" fillId="0" borderId="16" xfId="0" applyFont="1" applyFill="1" applyBorder="1" applyAlignment="1">
      <alignment horizontal="left" vertical="center" wrapText="1"/>
    </xf>
    <xf numFmtId="0" fontId="22" fillId="8" borderId="18" xfId="0" quotePrefix="1" applyFont="1" applyFill="1" applyBorder="1" applyAlignment="1">
      <alignment horizontal="left" vertical="center"/>
    </xf>
    <xf numFmtId="0" fontId="18" fillId="0" borderId="29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23" fillId="0" borderId="24" xfId="0" quotePrefix="1" applyFont="1" applyFill="1" applyBorder="1" applyAlignment="1">
      <alignment horizontal="left" vertical="center" wrapText="1"/>
    </xf>
    <xf numFmtId="0" fontId="15" fillId="6" borderId="30" xfId="0" applyFont="1" applyFill="1" applyBorder="1" applyAlignment="1">
      <alignment horizontal="left" vertical="center"/>
    </xf>
    <xf numFmtId="0" fontId="17" fillId="6" borderId="27" xfId="0" applyFont="1" applyFill="1" applyBorder="1" applyAlignment="1">
      <alignment horizontal="center" vertical="center" wrapText="1"/>
    </xf>
    <xf numFmtId="0" fontId="23" fillId="8" borderId="18" xfId="0" quotePrefix="1" applyFont="1" applyFill="1" applyBorder="1" applyAlignment="1">
      <alignment horizontal="left" vertical="center" wrapText="1"/>
    </xf>
    <xf numFmtId="0" fontId="18" fillId="0" borderId="31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wrapText="1"/>
    </xf>
    <xf numFmtId="0" fontId="18" fillId="0" borderId="32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23" fillId="0" borderId="18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3" fillId="8" borderId="18" xfId="0" quotePrefix="1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 wrapText="1"/>
    </xf>
    <xf numFmtId="0" fontId="15" fillId="0" borderId="22" xfId="0" applyFont="1" applyFill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9" fillId="0" borderId="16" xfId="0" applyFont="1" applyFill="1" applyBorder="1" applyAlignment="1">
      <alignment horizontal="left" vertical="center" wrapText="1"/>
    </xf>
    <xf numFmtId="0" fontId="22" fillId="0" borderId="24" xfId="0" quotePrefix="1" applyFont="1" applyFill="1" applyBorder="1" applyAlignment="1">
      <alignment horizontal="left" vertical="center"/>
    </xf>
    <xf numFmtId="0" fontId="27" fillId="0" borderId="22" xfId="0" applyFont="1" applyFill="1" applyBorder="1" applyAlignment="1">
      <alignment horizontal="left" vertical="center"/>
    </xf>
    <xf numFmtId="0" fontId="23" fillId="0" borderId="24" xfId="0" quotePrefix="1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0" fontId="22" fillId="0" borderId="0" xfId="0" applyFont="1" applyFill="1" applyBorder="1">
      <alignment vertical="center"/>
    </xf>
    <xf numFmtId="0" fontId="22" fillId="0" borderId="0" xfId="0" applyFont="1" applyFill="1" applyBorder="1" applyAlignment="1">
      <alignment vertical="center" wrapText="1"/>
    </xf>
    <xf numFmtId="0" fontId="20" fillId="0" borderId="33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left" vertical="center"/>
    </xf>
    <xf numFmtId="0" fontId="26" fillId="0" borderId="34" xfId="0" applyFont="1" applyFill="1" applyBorder="1" applyAlignment="1">
      <alignment horizontal="left" vertical="center"/>
    </xf>
    <xf numFmtId="0" fontId="9" fillId="0" borderId="16" xfId="0" applyFont="1" applyFill="1" applyBorder="1" applyAlignment="1">
      <alignment horizontal="left" vertical="center"/>
    </xf>
    <xf numFmtId="0" fontId="9" fillId="0" borderId="2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9" fillId="0" borderId="32" xfId="0" applyFont="1" applyBorder="1" applyAlignment="1">
      <alignment vertical="center" wrapText="1"/>
    </xf>
    <xf numFmtId="0" fontId="20" fillId="0" borderId="32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76" fontId="21" fillId="0" borderId="32" xfId="0" applyNumberFormat="1" applyFont="1" applyBorder="1" applyAlignment="1">
      <alignment horizontal="center" vertical="center"/>
    </xf>
    <xf numFmtId="0" fontId="23" fillId="0" borderId="36" xfId="0" quotePrefix="1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vertical="center" wrapText="1"/>
    </xf>
    <xf numFmtId="176" fontId="21" fillId="0" borderId="33" xfId="0" applyNumberFormat="1" applyFont="1" applyFill="1" applyBorder="1" applyAlignment="1">
      <alignment horizontal="center" vertical="center"/>
    </xf>
    <xf numFmtId="0" fontId="23" fillId="0" borderId="37" xfId="0" quotePrefix="1" applyFont="1" applyFill="1" applyBorder="1" applyAlignment="1">
      <alignment horizontal="left" vertical="center"/>
    </xf>
    <xf numFmtId="0" fontId="23" fillId="0" borderId="37" xfId="0" quotePrefix="1" applyFont="1" applyFill="1" applyBorder="1" applyAlignment="1">
      <alignment horizontal="left" vertical="center" wrapText="1"/>
    </xf>
    <xf numFmtId="0" fontId="20" fillId="0" borderId="29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vertical="center" wrapText="1"/>
    </xf>
    <xf numFmtId="0" fontId="18" fillId="0" borderId="39" xfId="0" applyFont="1" applyFill="1" applyBorder="1" applyAlignment="1">
      <alignment horizontal="center" vertical="center"/>
    </xf>
    <xf numFmtId="0" fontId="20" fillId="0" borderId="39" xfId="0" applyFont="1" applyFill="1" applyBorder="1" applyAlignment="1">
      <alignment horizontal="center" vertical="center"/>
    </xf>
    <xf numFmtId="176" fontId="21" fillId="0" borderId="39" xfId="0" applyNumberFormat="1" applyFont="1" applyFill="1" applyBorder="1" applyAlignment="1">
      <alignment horizontal="center" vertical="center"/>
    </xf>
    <xf numFmtId="0" fontId="23" fillId="0" borderId="40" xfId="0" quotePrefix="1" applyFont="1" applyFill="1" applyBorder="1" applyAlignment="1">
      <alignment horizontal="left" vertical="center" wrapText="1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2" fillId="0" borderId="2" xfId="0" applyFont="1" applyBorder="1">
      <alignment vertical="center"/>
    </xf>
    <xf numFmtId="0" fontId="34" fillId="0" borderId="0" xfId="0" applyFont="1" applyAlignment="1">
      <alignment horizontal="center" vertical="center"/>
    </xf>
    <xf numFmtId="0" fontId="32" fillId="0" borderId="0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176" fontId="14" fillId="9" borderId="27" xfId="0" applyNumberFormat="1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41" fillId="9" borderId="27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176" fontId="14" fillId="4" borderId="27" xfId="0" applyNumberFormat="1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left" vertical="center"/>
    </xf>
    <xf numFmtId="0" fontId="34" fillId="11" borderId="27" xfId="0" applyFont="1" applyFill="1" applyBorder="1" applyAlignment="1">
      <alignment horizontal="center" vertical="center"/>
    </xf>
    <xf numFmtId="0" fontId="26" fillId="0" borderId="44" xfId="2" quotePrefix="1" applyFont="1" applyFill="1" applyBorder="1" applyAlignment="1">
      <alignment horizontal="left" vertical="center" wrapText="1" indent="1"/>
    </xf>
    <xf numFmtId="0" fontId="18" fillId="0" borderId="32" xfId="0" applyFont="1" applyBorder="1" applyAlignment="1">
      <alignment horizontal="center" vertical="center"/>
    </xf>
    <xf numFmtId="0" fontId="20" fillId="0" borderId="36" xfId="0" quotePrefix="1" applyFont="1" applyFill="1" applyBorder="1" applyAlignment="1">
      <alignment horizontal="left" vertical="center" wrapText="1"/>
    </xf>
    <xf numFmtId="0" fontId="44" fillId="0" borderId="32" xfId="0" applyFont="1" applyBorder="1" applyAlignment="1">
      <alignment horizontal="center" vertical="center"/>
    </xf>
    <xf numFmtId="0" fontId="45" fillId="0" borderId="27" xfId="2" quotePrefix="1" applyFont="1" applyFill="1" applyBorder="1" applyAlignment="1">
      <alignment horizontal="left" vertical="center" wrapText="1"/>
    </xf>
    <xf numFmtId="0" fontId="26" fillId="0" borderId="45" xfId="2" quotePrefix="1" applyFont="1" applyFill="1" applyBorder="1" applyAlignment="1">
      <alignment horizontal="left" vertical="center" wrapText="1" indent="1"/>
    </xf>
    <xf numFmtId="0" fontId="18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176" fontId="21" fillId="0" borderId="33" xfId="0" applyNumberFormat="1" applyFont="1" applyBorder="1" applyAlignment="1">
      <alignment horizontal="center" vertical="center"/>
    </xf>
    <xf numFmtId="0" fontId="20" fillId="0" borderId="37" xfId="0" quotePrefix="1" applyFont="1" applyBorder="1" applyAlignment="1">
      <alignment horizontal="left" vertical="center" wrapText="1"/>
    </xf>
    <xf numFmtId="0" fontId="44" fillId="0" borderId="33" xfId="0" applyFont="1" applyBorder="1" applyAlignment="1">
      <alignment horizontal="center" vertical="center"/>
    </xf>
    <xf numFmtId="0" fontId="27" fillId="8" borderId="34" xfId="2" quotePrefix="1" applyFont="1" applyFill="1" applyBorder="1" applyAlignment="1">
      <alignment horizontal="left" vertical="center" wrapText="1" indent="1"/>
    </xf>
    <xf numFmtId="0" fontId="18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5" fillId="6" borderId="27" xfId="0" applyFont="1" applyFill="1" applyBorder="1" applyAlignment="1">
      <alignment horizontal="left" vertical="center"/>
    </xf>
    <xf numFmtId="0" fontId="20" fillId="6" borderId="28" xfId="0" applyFont="1" applyFill="1" applyBorder="1" applyAlignment="1">
      <alignment horizontal="left" vertical="center"/>
    </xf>
    <xf numFmtId="0" fontId="37" fillId="0" borderId="27" xfId="0" applyFont="1" applyBorder="1">
      <alignment vertical="center"/>
    </xf>
    <xf numFmtId="0" fontId="3" fillId="0" borderId="35" xfId="0" applyFont="1" applyFill="1" applyBorder="1" applyAlignment="1">
      <alignment horizontal="center" vertical="center"/>
    </xf>
    <xf numFmtId="0" fontId="26" fillId="0" borderId="32" xfId="2" quotePrefix="1" applyFont="1" applyFill="1" applyBorder="1" applyAlignment="1">
      <alignment horizontal="left" vertical="center" wrapText="1" indent="1"/>
    </xf>
    <xf numFmtId="176" fontId="21" fillId="0" borderId="32" xfId="0" applyNumberFormat="1" applyFont="1" applyFill="1" applyBorder="1" applyAlignment="1">
      <alignment horizontal="center" vertical="center"/>
    </xf>
    <xf numFmtId="0" fontId="44" fillId="0" borderId="32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27" fillId="0" borderId="47" xfId="2" quotePrefix="1" applyFont="1" applyFill="1" applyBorder="1" applyAlignment="1">
      <alignment horizontal="left" vertical="center" wrapText="1" indent="1"/>
    </xf>
    <xf numFmtId="0" fontId="18" fillId="0" borderId="42" xfId="0" applyFont="1" applyFill="1" applyBorder="1" applyAlignment="1">
      <alignment horizontal="center" vertical="center"/>
    </xf>
    <xf numFmtId="0" fontId="20" fillId="0" borderId="48" xfId="0" quotePrefix="1" applyFont="1" applyFill="1" applyBorder="1" applyAlignment="1">
      <alignment horizontal="left" vertical="center" wrapText="1"/>
    </xf>
    <xf numFmtId="0" fontId="15" fillId="6" borderId="26" xfId="0" applyFont="1" applyFill="1" applyBorder="1" applyAlignment="1">
      <alignment horizontal="left" vertical="center" wrapText="1"/>
    </xf>
    <xf numFmtId="0" fontId="37" fillId="0" borderId="0" xfId="0" applyFont="1" applyFill="1">
      <alignment vertical="center"/>
    </xf>
    <xf numFmtId="0" fontId="3" fillId="0" borderId="49" xfId="0" applyFont="1" applyBorder="1" applyAlignment="1">
      <alignment horizontal="center" vertical="center"/>
    </xf>
    <xf numFmtId="0" fontId="26" fillId="0" borderId="50" xfId="2" quotePrefix="1" applyFont="1" applyFill="1" applyBorder="1" applyAlignment="1">
      <alignment horizontal="left" vertical="center" wrapText="1" indent="1"/>
    </xf>
    <xf numFmtId="0" fontId="20" fillId="0" borderId="31" xfId="0" applyFont="1" applyBorder="1" applyAlignment="1">
      <alignment horizontal="center" vertical="center"/>
    </xf>
    <xf numFmtId="176" fontId="21" fillId="0" borderId="31" xfId="0" applyNumberFormat="1" applyFont="1" applyBorder="1" applyAlignment="1">
      <alignment horizontal="center" vertical="center"/>
    </xf>
    <xf numFmtId="0" fontId="23" fillId="0" borderId="51" xfId="0" quotePrefix="1" applyFont="1" applyBorder="1" applyAlignment="1">
      <alignment horizontal="left" vertical="center" wrapText="1"/>
    </xf>
    <xf numFmtId="0" fontId="44" fillId="0" borderId="31" xfId="0" applyFont="1" applyBorder="1" applyAlignment="1">
      <alignment horizontal="center" vertical="center"/>
    </xf>
    <xf numFmtId="0" fontId="37" fillId="0" borderId="0" xfId="0" applyFont="1" applyBorder="1">
      <alignment vertical="center"/>
    </xf>
    <xf numFmtId="0" fontId="18" fillId="0" borderId="42" xfId="0" applyFont="1" applyBorder="1" applyAlignment="1">
      <alignment horizontal="center" vertical="center"/>
    </xf>
    <xf numFmtId="0" fontId="20" fillId="0" borderId="37" xfId="0" quotePrefix="1" applyFont="1" applyFill="1" applyBorder="1" applyAlignment="1">
      <alignment horizontal="left" wrapText="1"/>
    </xf>
    <xf numFmtId="0" fontId="18" fillId="0" borderId="31" xfId="0" applyFont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51" xfId="0" quotePrefix="1" applyFont="1" applyFill="1" applyBorder="1" applyAlignment="1">
      <alignment horizontal="left" vertical="center" wrapText="1"/>
    </xf>
    <xf numFmtId="0" fontId="44" fillId="0" borderId="33" xfId="0" applyFont="1" applyFill="1" applyBorder="1" applyAlignment="1">
      <alignment horizontal="center" vertical="center"/>
    </xf>
    <xf numFmtId="0" fontId="37" fillId="0" borderId="52" xfId="0" applyFont="1" applyBorder="1">
      <alignment vertical="center"/>
    </xf>
    <xf numFmtId="0" fontId="48" fillId="11" borderId="0" xfId="0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 vertical="center"/>
    </xf>
    <xf numFmtId="176" fontId="34" fillId="11" borderId="0" xfId="0" applyNumberFormat="1" applyFont="1" applyFill="1" applyBorder="1" applyAlignment="1">
      <alignment horizontal="center" vertical="center"/>
    </xf>
    <xf numFmtId="0" fontId="44" fillId="11" borderId="0" xfId="0" applyFont="1" applyFill="1" applyBorder="1" applyAlignment="1">
      <alignment horizontal="left" vertical="center"/>
    </xf>
    <xf numFmtId="0" fontId="31" fillId="11" borderId="0" xfId="0" applyFont="1" applyFill="1" applyBorder="1" applyAlignment="1">
      <alignment horizontal="left" vertical="center" wrapText="1"/>
    </xf>
    <xf numFmtId="0" fontId="49" fillId="11" borderId="0" xfId="0" applyFont="1" applyFill="1" applyBorder="1" applyAlignment="1">
      <alignment horizontal="center" vertical="center"/>
    </xf>
    <xf numFmtId="0" fontId="48" fillId="11" borderId="4" xfId="0" applyFont="1" applyFill="1" applyBorder="1" applyAlignment="1">
      <alignment horizontal="center" vertical="center"/>
    </xf>
    <xf numFmtId="0" fontId="48" fillId="11" borderId="6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176" fontId="34" fillId="11" borderId="6" xfId="0" applyNumberFormat="1" applyFont="1" applyFill="1" applyBorder="1" applyAlignment="1">
      <alignment horizontal="center" vertical="center"/>
    </xf>
    <xf numFmtId="0" fontId="44" fillId="11" borderId="7" xfId="0" applyFont="1" applyFill="1" applyBorder="1" applyAlignment="1">
      <alignment horizontal="left" vertical="center"/>
    </xf>
    <xf numFmtId="0" fontId="31" fillId="11" borderId="3" xfId="0" applyFont="1" applyFill="1" applyBorder="1" applyAlignment="1">
      <alignment horizontal="left" vertical="center" wrapText="1"/>
    </xf>
    <xf numFmtId="0" fontId="49" fillId="11" borderId="4" xfId="0" applyFont="1" applyFill="1" applyBorder="1" applyAlignment="1">
      <alignment horizontal="center" vertical="center"/>
    </xf>
    <xf numFmtId="0" fontId="48" fillId="11" borderId="10" xfId="0" applyFont="1" applyFill="1" applyBorder="1" applyAlignment="1">
      <alignment horizontal="center" vertical="center"/>
    </xf>
    <xf numFmtId="0" fontId="34" fillId="11" borderId="52" xfId="0" applyFont="1" applyFill="1" applyBorder="1" applyAlignment="1">
      <alignment horizontal="center" vertical="center"/>
    </xf>
    <xf numFmtId="0" fontId="20" fillId="0" borderId="36" xfId="0" quotePrefix="1" applyFont="1" applyBorder="1" applyAlignment="1">
      <alignment horizontal="left" vertical="center" wrapText="1"/>
    </xf>
    <xf numFmtId="0" fontId="20" fillId="0" borderId="51" xfId="0" quotePrefix="1" applyFont="1" applyBorder="1" applyAlignment="1">
      <alignment horizontal="left" vertical="center" wrapText="1"/>
    </xf>
    <xf numFmtId="0" fontId="51" fillId="0" borderId="37" xfId="0" quotePrefix="1" applyFont="1" applyBorder="1" applyAlignment="1">
      <alignment horizontal="left" vertical="center" wrapText="1"/>
    </xf>
    <xf numFmtId="0" fontId="20" fillId="8" borderId="32" xfId="0" applyFont="1" applyFill="1" applyBorder="1" applyAlignment="1">
      <alignment horizontal="center" vertical="center"/>
    </xf>
    <xf numFmtId="0" fontId="44" fillId="8" borderId="32" xfId="0" applyFont="1" applyFill="1" applyBorder="1" applyAlignment="1">
      <alignment horizontal="center" vertical="center"/>
    </xf>
    <xf numFmtId="0" fontId="20" fillId="8" borderId="33" xfId="0" applyFont="1" applyFill="1" applyBorder="1" applyAlignment="1">
      <alignment horizontal="center" vertical="center"/>
    </xf>
    <xf numFmtId="0" fontId="23" fillId="0" borderId="37" xfId="0" quotePrefix="1" applyFont="1" applyBorder="1" applyAlignment="1">
      <alignment horizontal="left" vertical="center" wrapText="1"/>
    </xf>
    <xf numFmtId="0" fontId="44" fillId="8" borderId="33" xfId="0" applyFont="1" applyFill="1" applyBorder="1" applyAlignment="1">
      <alignment horizontal="center" vertical="center"/>
    </xf>
    <xf numFmtId="0" fontId="26" fillId="0" borderId="34" xfId="2" quotePrefix="1" applyFont="1" applyFill="1" applyBorder="1" applyAlignment="1">
      <alignment horizontal="left" vertical="center" wrapText="1" indent="1"/>
    </xf>
    <xf numFmtId="0" fontId="18" fillId="0" borderId="23" xfId="0" applyFont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44" fillId="8" borderId="31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left" vertical="center"/>
    </xf>
    <xf numFmtId="0" fontId="20" fillId="8" borderId="31" xfId="0" applyFont="1" applyFill="1" applyBorder="1" applyAlignment="1">
      <alignment horizontal="center" vertical="center"/>
    </xf>
    <xf numFmtId="0" fontId="20" fillId="0" borderId="51" xfId="0" quotePrefix="1" applyFont="1" applyBorder="1" applyAlignment="1">
      <alignment horizontal="left" vertical="center"/>
    </xf>
    <xf numFmtId="0" fontId="52" fillId="6" borderId="28" xfId="0" applyFont="1" applyFill="1" applyBorder="1" applyAlignment="1">
      <alignment horizontal="left" vertical="center"/>
    </xf>
    <xf numFmtId="0" fontId="26" fillId="0" borderId="47" xfId="2" quotePrefix="1" applyFont="1" applyFill="1" applyBorder="1" applyAlignment="1">
      <alignment horizontal="left" vertical="center" wrapText="1" indent="1"/>
    </xf>
    <xf numFmtId="0" fontId="20" fillId="0" borderId="42" xfId="0" applyFont="1" applyFill="1" applyBorder="1" applyAlignment="1">
      <alignment horizontal="center" vertical="center"/>
    </xf>
    <xf numFmtId="0" fontId="20" fillId="0" borderId="36" xfId="0" quotePrefix="1" applyFont="1" applyFill="1" applyBorder="1" applyAlignment="1">
      <alignment horizontal="left" vertical="center"/>
    </xf>
    <xf numFmtId="0" fontId="22" fillId="0" borderId="36" xfId="0" quotePrefix="1" applyFont="1" applyBorder="1" applyAlignment="1">
      <alignment horizontal="center" vertical="center"/>
    </xf>
    <xf numFmtId="0" fontId="26" fillId="8" borderId="45" xfId="2" quotePrefix="1" applyFont="1" applyFill="1" applyBorder="1" applyAlignment="1">
      <alignment horizontal="left" vertical="center" wrapText="1" indent="1"/>
    </xf>
    <xf numFmtId="0" fontId="20" fillId="0" borderId="37" xfId="0" quotePrefix="1" applyFont="1" applyBorder="1" applyAlignment="1">
      <alignment horizontal="left" vertical="center"/>
    </xf>
    <xf numFmtId="0" fontId="26" fillId="8" borderId="50" xfId="2" quotePrefix="1" applyFont="1" applyFill="1" applyBorder="1" applyAlignment="1">
      <alignment horizontal="left" vertical="center" wrapText="1" indent="1"/>
    </xf>
    <xf numFmtId="0" fontId="23" fillId="0" borderId="32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/>
    </xf>
    <xf numFmtId="176" fontId="21" fillId="8" borderId="32" xfId="0" applyNumberFormat="1" applyFont="1" applyFill="1" applyBorder="1" applyAlignment="1">
      <alignment horizontal="center" vertical="center"/>
    </xf>
    <xf numFmtId="0" fontId="20" fillId="0" borderId="48" xfId="0" quotePrefix="1" applyFont="1" applyBorder="1" applyAlignment="1">
      <alignment horizontal="left" vertical="center" wrapText="1"/>
    </xf>
    <xf numFmtId="0" fontId="54" fillId="8" borderId="32" xfId="0" applyFont="1" applyFill="1" applyBorder="1" applyAlignment="1">
      <alignment horizontal="center" vertical="center"/>
    </xf>
    <xf numFmtId="0" fontId="26" fillId="0" borderId="33" xfId="2" quotePrefix="1" applyFont="1" applyFill="1" applyBorder="1" applyAlignment="1">
      <alignment horizontal="left" vertical="center" wrapText="1" indent="1"/>
    </xf>
    <xf numFmtId="0" fontId="17" fillId="8" borderId="33" xfId="0" applyFont="1" applyFill="1" applyBorder="1" applyAlignment="1">
      <alignment horizontal="center" vertical="center"/>
    </xf>
    <xf numFmtId="176" fontId="21" fillId="8" borderId="33" xfId="0" applyNumberFormat="1" applyFont="1" applyFill="1" applyBorder="1" applyAlignment="1">
      <alignment horizontal="center" vertical="center"/>
    </xf>
    <xf numFmtId="0" fontId="54" fillId="8" borderId="33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/>
    </xf>
    <xf numFmtId="176" fontId="21" fillId="8" borderId="31" xfId="0" applyNumberFormat="1" applyFont="1" applyFill="1" applyBorder="1" applyAlignment="1">
      <alignment horizontal="center" vertical="center"/>
    </xf>
    <xf numFmtId="0" fontId="20" fillId="0" borderId="18" xfId="0" quotePrefix="1" applyFont="1" applyBorder="1" applyAlignment="1">
      <alignment horizontal="left" vertical="center" wrapText="1"/>
    </xf>
    <xf numFmtId="0" fontId="54" fillId="8" borderId="31" xfId="0" applyFont="1" applyFill="1" applyBorder="1" applyAlignment="1">
      <alignment horizontal="center" vertical="center"/>
    </xf>
    <xf numFmtId="0" fontId="49" fillId="0" borderId="0" xfId="0" applyFont="1" applyFill="1">
      <alignment vertical="center"/>
    </xf>
    <xf numFmtId="0" fontId="9" fillId="0" borderId="35" xfId="0" applyFont="1" applyFill="1" applyBorder="1" applyAlignment="1">
      <alignment horizontal="center" vertical="center"/>
    </xf>
    <xf numFmtId="0" fontId="20" fillId="0" borderId="32" xfId="0" quotePrefix="1" applyFont="1" applyFill="1" applyBorder="1" applyAlignment="1">
      <alignment horizontal="center" vertical="center"/>
    </xf>
    <xf numFmtId="176" fontId="21" fillId="0" borderId="42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20" fillId="0" borderId="33" xfId="0" quotePrefix="1" applyFont="1" applyFill="1" applyBorder="1" applyAlignment="1">
      <alignment horizontal="center" vertical="center"/>
    </xf>
    <xf numFmtId="0" fontId="20" fillId="0" borderId="37" xfId="0" quotePrefix="1" applyFont="1" applyFill="1" applyBorder="1" applyAlignment="1">
      <alignment horizontal="left" vertical="center"/>
    </xf>
    <xf numFmtId="0" fontId="9" fillId="0" borderId="38" xfId="0" applyFont="1" applyFill="1" applyBorder="1" applyAlignment="1">
      <alignment horizontal="center" vertical="center"/>
    </xf>
    <xf numFmtId="0" fontId="26" fillId="0" borderId="53" xfId="2" quotePrefix="1" applyFont="1" applyFill="1" applyBorder="1" applyAlignment="1">
      <alignment horizontal="left" vertical="center" wrapText="1" indent="1"/>
    </xf>
    <xf numFmtId="0" fontId="20" fillId="0" borderId="39" xfId="0" quotePrefix="1" applyFont="1" applyFill="1" applyBorder="1" applyAlignment="1">
      <alignment horizontal="center" vertical="center"/>
    </xf>
    <xf numFmtId="0" fontId="20" fillId="0" borderId="40" xfId="0" quotePrefix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0" fontId="39" fillId="9" borderId="41" xfId="0" applyFont="1" applyFill="1" applyBorder="1" applyAlignment="1">
      <alignment horizontal="left" vertical="center" wrapText="1"/>
    </xf>
    <xf numFmtId="0" fontId="40" fillId="9" borderId="30" xfId="0" applyFont="1" applyFill="1" applyBorder="1" applyAlignment="1">
      <alignment horizontal="left" vertical="center"/>
    </xf>
    <xf numFmtId="0" fontId="40" fillId="9" borderId="26" xfId="0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11" fillId="10" borderId="26" xfId="1" applyFont="1" applyFill="1" applyBorder="1" applyAlignment="1">
      <alignment horizontal="left" vertical="center"/>
    </xf>
    <xf numFmtId="0" fontId="3" fillId="0" borderId="42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left" vertical="center" wrapText="1"/>
    </xf>
    <xf numFmtId="0" fontId="13" fillId="4" borderId="9" xfId="1" applyFont="1" applyFill="1" applyBorder="1" applyAlignment="1">
      <alignment horizontal="left" vertical="center" wrapText="1"/>
    </xf>
    <xf numFmtId="0" fontId="13" fillId="4" borderId="4" xfId="1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 wrapText="1" shrinkToFit="1"/>
    </xf>
    <xf numFmtId="0" fontId="22" fillId="0" borderId="2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</cellXfs>
  <cellStyles count="4">
    <cellStyle name="Normal 2" xfId="2" xr:uid="{00000000-0005-0000-0000-000000000000}"/>
    <cellStyle name="표준" xfId="0" builtinId="0"/>
    <cellStyle name="표준 2" xfId="1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056;&#53944;&#47204;&#51216;&#44160;&#54876;&#46041;(2014&#45380;)/2014&#45380;-09&#50900;/&#46041;&#48512;&#44148;&#49444;/&#54408;&#51656;&#50504;&#51204;&#54016;/KOSHA18001&#52628;&#51652;/&#52968;&#49444;&#54021;/&#49884;&#49828;&#53596;%20&#51216;&#44160;&#51456;&#48708;/&#52404;&#53356;&#47532;&#49828;&#53944;%20&#47532;&#48624;/&#51088;&#47308;/JABO/O12060/INFORM/MYENGB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CM\Set\Data\Document\Explorer\View\DOC66_33_\mySingle\Temp\Audit%20&#51068;&#51221;\'14&#24180;%20Audit%20&#49892;&#51201;%20&#52509;&#44292;(11.03%20&#54788;&#51116;&#44592;&#51456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428;&#49692;&#48124;\&#49324;&#44256;&#44288;&#47532;\14&#45380;%20&#51068;&#48152;&#51116;&#54644;\2014&#45380;%20&#44148;&#49444;&#49324;%20&#49328;&#51116;&#49324;&#44256;%20&#54788;&#54889;%20(&#47932;&#49328;&#44148;&#49444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CM\Set\Data\Document\Explorer\View\DOC66_33_\Temp\ECM\Set\Data\DCTM\export\Q-HSE\131015%2010&#50900;%20&#54788;&#51109;&#51452;&#49548;&#47197;(&#47932;&#49328;&#44148;&#49444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CM\Set\Data\Document\Explorer\View\DOC66_33_\Temp\ECM\Set\Data\DCTM\export\mySingle\Temp\130607%20&#54788;&#51109;%20&#51452;&#49548;&#47197;%20(&#50577;&#54217;&#44368;&#53685;&#51116;&#54876;&#48337;&#50896;&#54788;&#51109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056;&#53944;&#47204;&#51216;&#44160;&#54876;&#46041;(2014&#45380;)/2014&#45380;-09&#50900;/&#50504;&#51204;&#51216;&#44160;/2011&#50504;&#51204;&#51216;&#44160;/&#46041;&#48512;&#44148;&#49444;/&#49345;&#48152;&#44592;/&#47785;&#54252;-&#44305;&#50577;6/JABO/O12060/INFORM/MYENGB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CM\Set\Data\Document\Explorer\View\DOC66_33_\Temp\ECM\Set\Data\DCTM\export\02.%20&#50629;&#47924;&#44228;&#54925;\&#51216;&#44160;&#44228;&#54925;\120515%20&#26032;%20&#50629;&#47924;&#44228;&#54925;&#50640;%20&#46384;&#47480;%20&#51216;&#44160;&#44228;&#54925;\120518%20&#51216;&#44160;&#54788;&#51109;%20&#48516;&#47448;(&#45236;&#44032;%20&#54200;&#51665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1.%20&#48376;&#49324;%20&#49436;&#47448;\09.%20&#54788;&#51109;&#51216;&#44160;%20&#44288;&#47144;\02.%204&#50900;%20&#54217;&#44032;&#51216;&#44160;%20&#44288;&#47144;%20(&#44060;&#51221;%20Check%20list%20&#54252;&#54632;)\5&#50900;%20&#54217;&#44032;&#51216;&#44160;%20&#44288;&#47144;\220510_&#51221;&#44592;&#50504;&#51204;&#51216;&#44160;%20&#54217;&#44032;&#54364;_Re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단가표"/>
      <sheetName val="EGI 판넬단가표"/>
      <sheetName val="방음판단가.TRIM.ㄷPOST"/>
      <sheetName val="EGI원가산출"/>
      <sheetName val="EGI 원가산출표"/>
      <sheetName val="Y-WORK"/>
      <sheetName val="BID"/>
      <sheetName val="평자재단가"/>
      <sheetName val="입찰안"/>
      <sheetName val="내역표지"/>
      <sheetName val="별표 "/>
      <sheetName val="총괄내역서"/>
      <sheetName val="MYENGBU"/>
      <sheetName val="참고"/>
      <sheetName val="공사개요"/>
      <sheetName val="기초일위"/>
      <sheetName val="시설일위"/>
      <sheetName val="조명일위"/>
      <sheetName val="설계"/>
      <sheetName val="일위대가(계측기설치)"/>
      <sheetName val="집계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공종 Stop List"/>
      <sheetName val="조치결과현황"/>
      <sheetName val="현황(11.03일 현재)"/>
      <sheetName val="1月"/>
      <sheetName val="2月"/>
      <sheetName val="2'일정"/>
      <sheetName val="3月"/>
      <sheetName val="12月"/>
      <sheetName val="Audit 대상현장 선정자료"/>
      <sheetName val="3'일정"/>
      <sheetName val="4月"/>
      <sheetName val="4'일정"/>
      <sheetName val="5月"/>
      <sheetName val="4'사업부평가점검일정"/>
      <sheetName val="5'일정"/>
      <sheetName val="5'합동점검일정"/>
      <sheetName val="5'사업부평가점검일정"/>
      <sheetName val="6月"/>
      <sheetName val="6일정"/>
      <sheetName val="7月"/>
      <sheetName val="7'일정"/>
      <sheetName val="8月"/>
      <sheetName val="8'일정"/>
      <sheetName val="9月"/>
      <sheetName val="9'일정"/>
      <sheetName val="10月"/>
      <sheetName val="10'일정"/>
      <sheetName val="11月"/>
      <sheetName val="11'일정"/>
      <sheetName val="12'일정"/>
      <sheetName val="국내현장 주소록"/>
      <sheetName val="Sheet1"/>
      <sheetName val="부서Event"/>
      <sheetName val="삭제금지"/>
      <sheetName val="드롭박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A2" t="str">
            <v>DSR-PJT</v>
          </cell>
          <cell r="B2" t="str">
            <v>안동진</v>
          </cell>
          <cell r="C2" t="str">
            <v>정기</v>
          </cell>
        </row>
        <row r="3">
          <cell r="B3" t="str">
            <v>이원종</v>
          </cell>
          <cell r="C3" t="str">
            <v>특별</v>
          </cell>
        </row>
        <row r="4">
          <cell r="B4" t="str">
            <v>윤재근</v>
          </cell>
          <cell r="C4" t="str">
            <v>핵심</v>
          </cell>
        </row>
        <row r="5">
          <cell r="B5" t="str">
            <v>조성열</v>
          </cell>
          <cell r="C5" t="str">
            <v>부서장</v>
          </cell>
        </row>
        <row r="6">
          <cell r="B6" t="str">
            <v>신웅</v>
          </cell>
          <cell r="C6" t="str">
            <v>지원</v>
          </cell>
        </row>
        <row r="7">
          <cell r="B7" t="str">
            <v>신영호</v>
          </cell>
          <cell r="C7" t="str">
            <v>심사</v>
          </cell>
        </row>
        <row r="8">
          <cell r="B8" t="str">
            <v>김기홍</v>
          </cell>
          <cell r="C8" t="str">
            <v>사고조사</v>
          </cell>
        </row>
        <row r="9">
          <cell r="B9" t="str">
            <v>이경태</v>
          </cell>
        </row>
        <row r="10">
          <cell r="B10" t="str">
            <v>하헌석</v>
          </cell>
        </row>
        <row r="11">
          <cell r="B11" t="str">
            <v>김동회</v>
          </cell>
        </row>
        <row r="12">
          <cell r="B12" t="str">
            <v>하헌석</v>
          </cell>
        </row>
      </sheetData>
      <sheetData sheetId="33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해(일반+중대)"/>
      <sheetName val="Sheet1"/>
    </sheetNames>
    <sheetDataSet>
      <sheetData sheetId="0"/>
      <sheetData sheetId="1">
        <row r="1">
          <cell r="B1" t="str">
            <v>위험장소접근</v>
          </cell>
          <cell r="F1" t="str">
            <v>추락</v>
          </cell>
          <cell r="J1" t="str">
            <v>골절</v>
          </cell>
        </row>
        <row r="2">
          <cell r="B2" t="str">
            <v>안전장치기능제거</v>
          </cell>
          <cell r="F2" t="str">
            <v>낙하</v>
          </cell>
          <cell r="J2" t="str">
            <v>창상</v>
          </cell>
        </row>
        <row r="3">
          <cell r="B3" t="str">
            <v>보호구 미착용, 미사용</v>
          </cell>
          <cell r="F3" t="str">
            <v>전도</v>
          </cell>
          <cell r="J3" t="str">
            <v>자상</v>
          </cell>
        </row>
        <row r="4">
          <cell r="B4" t="str">
            <v>취급부주의</v>
          </cell>
          <cell r="F4" t="str">
            <v>협착</v>
          </cell>
          <cell r="J4" t="str">
            <v>절단</v>
          </cell>
          <cell r="N4" t="str">
            <v>그룹공사</v>
          </cell>
        </row>
        <row r="5">
          <cell r="B5" t="str">
            <v>불안전한 상태 방치</v>
          </cell>
          <cell r="F5" t="str">
            <v>감전</v>
          </cell>
          <cell r="J5" t="str">
            <v>중독,질식</v>
          </cell>
          <cell r="N5" t="str">
            <v>관공사</v>
          </cell>
        </row>
        <row r="6">
          <cell r="B6" t="str">
            <v>불안전한 자세 동작</v>
          </cell>
          <cell r="F6" t="str">
            <v>비래</v>
          </cell>
          <cell r="J6" t="str">
            <v>찰과상</v>
          </cell>
          <cell r="N6" t="str">
            <v>민간공사</v>
          </cell>
        </row>
        <row r="7">
          <cell r="B7" t="str">
            <v>감독, 사전연락 불충분</v>
          </cell>
          <cell r="F7" t="str">
            <v>베임</v>
          </cell>
          <cell r="J7" t="str">
            <v>부종</v>
          </cell>
        </row>
        <row r="8">
          <cell r="B8" t="str">
            <v>기계기구 잘못 사용</v>
          </cell>
          <cell r="F8" t="str">
            <v>붕괴,도괴</v>
          </cell>
          <cell r="J8" t="str">
            <v>화상</v>
          </cell>
          <cell r="N8" t="str">
            <v>일반재해</v>
          </cell>
        </row>
        <row r="9">
          <cell r="B9" t="str">
            <v>기타</v>
          </cell>
          <cell r="F9" t="str">
            <v>충돌</v>
          </cell>
          <cell r="J9" t="str">
            <v>피부병</v>
          </cell>
          <cell r="N9" t="str">
            <v>중대재해</v>
          </cell>
        </row>
        <row r="10">
          <cell r="F10" t="str">
            <v>폭발, 파열</v>
          </cell>
          <cell r="J10" t="str">
            <v>청력장애</v>
          </cell>
        </row>
        <row r="11">
          <cell r="F11" t="str">
            <v>화재</v>
          </cell>
          <cell r="J11" t="str">
            <v>시력장애</v>
          </cell>
          <cell r="N11" t="str">
            <v>산재보험</v>
          </cell>
        </row>
        <row r="12">
          <cell r="B12" t="str">
            <v>설비결함</v>
          </cell>
          <cell r="F12" t="str">
            <v>무리한 동작</v>
          </cell>
          <cell r="J12" t="str">
            <v>기타</v>
          </cell>
          <cell r="N12" t="str">
            <v>장비보험</v>
          </cell>
        </row>
        <row r="13">
          <cell r="B13" t="str">
            <v>방호장구 결함</v>
          </cell>
          <cell r="F13" t="str">
            <v>이상온도</v>
          </cell>
          <cell r="N13" t="str">
            <v>선원보험</v>
          </cell>
        </row>
        <row r="14">
          <cell r="B14" t="str">
            <v>보호구 복장 결함</v>
          </cell>
          <cell r="F14" t="str">
            <v>유해물질</v>
          </cell>
          <cell r="N14" t="str">
            <v>보험적용안됨</v>
          </cell>
        </row>
        <row r="15">
          <cell r="B15" t="str">
            <v>작업장소 불량</v>
          </cell>
          <cell r="F15" t="str">
            <v>기타</v>
          </cell>
        </row>
        <row r="16">
          <cell r="B16" t="str">
            <v>작업환경 결함</v>
          </cell>
        </row>
        <row r="17">
          <cell r="B17" t="str">
            <v>작업공정 결함</v>
          </cell>
          <cell r="F17" t="str">
            <v>두부</v>
          </cell>
        </row>
        <row r="18">
          <cell r="B18" t="str">
            <v>경계표시 미설치</v>
          </cell>
          <cell r="F18" t="str">
            <v>안면</v>
          </cell>
        </row>
        <row r="19">
          <cell r="B19" t="str">
            <v>안전시설 미설치</v>
          </cell>
          <cell r="F19" t="str">
            <v>눈</v>
          </cell>
        </row>
        <row r="20">
          <cell r="B20" t="str">
            <v>기타</v>
          </cell>
          <cell r="F20" t="str">
            <v>목</v>
          </cell>
        </row>
        <row r="21">
          <cell r="F21" t="str">
            <v>어깨</v>
          </cell>
        </row>
        <row r="22">
          <cell r="F22" t="str">
            <v>팔</v>
          </cell>
        </row>
        <row r="23">
          <cell r="F23" t="str">
            <v>손</v>
          </cell>
        </row>
        <row r="24">
          <cell r="F24" t="str">
            <v>등</v>
          </cell>
        </row>
        <row r="25">
          <cell r="F25" t="str">
            <v>척추</v>
          </cell>
        </row>
        <row r="26">
          <cell r="F26" t="str">
            <v>가슴</v>
          </cell>
        </row>
        <row r="27">
          <cell r="F27" t="str">
            <v>다리</v>
          </cell>
        </row>
        <row r="28">
          <cell r="F28" t="str">
            <v>발</v>
          </cell>
        </row>
        <row r="29">
          <cell r="F29" t="str">
            <v>전신</v>
          </cell>
        </row>
        <row r="30">
          <cell r="F30" t="str">
            <v>기타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내현장"/>
      <sheetName val="해외현장"/>
      <sheetName val="Sheet1"/>
    </sheetNames>
    <sheetDataSet>
      <sheetData sheetId="0"/>
      <sheetData sheetId="1"/>
      <sheetData sheetId="2">
        <row r="1">
          <cell r="A1" t="str">
            <v>관계사(전자)</v>
          </cell>
        </row>
        <row r="14">
          <cell r="A14" t="str">
            <v>100% 초과</v>
          </cell>
        </row>
        <row r="15">
          <cell r="A15" t="str">
            <v>95~100%</v>
          </cell>
        </row>
        <row r="16">
          <cell r="A16" t="str">
            <v>95% 미만</v>
          </cell>
        </row>
        <row r="17">
          <cell r="A17" t="str">
            <v>그룹/자체</v>
          </cell>
        </row>
        <row r="18">
          <cell r="A18" t="str">
            <v>미확정</v>
          </cell>
        </row>
        <row r="19">
          <cell r="A19" t="str">
            <v>하도급</v>
          </cell>
        </row>
        <row r="20">
          <cell r="A20" t="str">
            <v>JV sub</v>
          </cell>
        </row>
        <row r="21">
          <cell r="A21" t="str">
            <v>대외비</v>
          </cell>
        </row>
        <row r="25">
          <cell r="A25" t="str">
            <v>상위 10%</v>
          </cell>
        </row>
        <row r="26">
          <cell r="A26" t="str">
            <v>상위 10~50%</v>
          </cell>
        </row>
        <row r="27">
          <cell r="A27" t="str">
            <v>하위 20~50%</v>
          </cell>
        </row>
        <row r="28">
          <cell r="A28" t="str">
            <v>하위 10~20%</v>
          </cell>
        </row>
        <row r="29">
          <cell r="A29" t="str">
            <v>하위 10%</v>
          </cell>
        </row>
        <row r="30">
          <cell r="A30" t="str">
            <v>미평가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내현장"/>
      <sheetName val="해외현장"/>
      <sheetName val="Sheet1"/>
    </sheetNames>
    <sheetDataSet>
      <sheetData sheetId="0" refreshError="1"/>
      <sheetData sheetId="1" refreshError="1"/>
      <sheetData sheetId="2">
        <row r="1">
          <cell r="A1" t="str">
            <v>관계사(전자)</v>
          </cell>
        </row>
        <row r="2">
          <cell r="A2" t="str">
            <v>관계사(전자 外)</v>
          </cell>
        </row>
        <row r="3">
          <cell r="A3" t="str">
            <v>공공</v>
          </cell>
        </row>
        <row r="4">
          <cell r="A4" t="str">
            <v>민간</v>
          </cell>
        </row>
        <row r="5">
          <cell r="A5" t="str">
            <v>하도급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단가표"/>
      <sheetName val="EGI 판넬단가표"/>
      <sheetName val="방음판단가.TRIM.ㄷPOST"/>
      <sheetName val="EGI원가산출"/>
      <sheetName val="EGI 원가산출표"/>
      <sheetName val="BID"/>
      <sheetName val="평자재단가"/>
      <sheetName val="Y-WORK"/>
      <sheetName val="입찰안"/>
      <sheetName val="내역표지"/>
      <sheetName val="별표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Sheet3"/>
    </sheetNames>
    <sheetDataSet>
      <sheetData sheetId="0" refreshError="1"/>
      <sheetData sheetId="1">
        <row r="296">
          <cell r="K296" t="str">
            <v>풍수해 피해 우려 현장</v>
          </cell>
        </row>
        <row r="297">
          <cell r="K297" t="str">
            <v>공사기간 1년 미만 현장</v>
          </cell>
        </row>
        <row r="298">
          <cell r="K298" t="str">
            <v>안전관리자 1명이하 배치된 현장</v>
          </cell>
        </row>
        <row r="299">
          <cell r="K299" t="str">
            <v>관계사 현장(전자)</v>
          </cell>
        </row>
        <row r="300">
          <cell r="K300" t="str">
            <v>관계사 현장(비전자)</v>
          </cell>
        </row>
        <row r="301">
          <cell r="K301" t="str">
            <v>대형현장</v>
          </cell>
        </row>
        <row r="302">
          <cell r="K302" t="str">
            <v>저가수주, 장기공사, 공기지연</v>
          </cell>
        </row>
        <row r="303">
          <cell r="K303" t="str">
            <v>현장평가 하위 현장</v>
          </cell>
        </row>
        <row r="304">
          <cell r="K304" t="str">
            <v>11년 이후 산재사고 발생 현장</v>
          </cell>
        </row>
        <row r="305">
          <cell r="K305" t="str">
            <v>구조물 공사 위주 현장</v>
          </cell>
        </row>
        <row r="306">
          <cell r="K306" t="str">
            <v>사회적 관심 및 민원이 많은 현장</v>
          </cell>
        </row>
        <row r="307">
          <cell r="K307" t="str">
            <v>실내 마감작업 현장</v>
          </cell>
        </row>
        <row r="308">
          <cell r="K308" t="str">
            <v>준공임박</v>
          </cell>
        </row>
        <row r="309">
          <cell r="K309" t="str">
            <v>비주관사</v>
          </cell>
        </row>
        <row r="310">
          <cell r="K310" t="str">
            <v>미착공</v>
          </cell>
        </row>
        <row r="311">
          <cell r="K311" t="str">
            <v>계속공사</v>
          </cell>
        </row>
        <row r="312">
          <cell r="K312" t="str">
            <v>조경공사</v>
          </cell>
        </row>
        <row r="313">
          <cell r="K313" t="str">
            <v>공사중단</v>
          </cell>
        </row>
        <row r="314">
          <cell r="K314" t="str">
            <v>점검 기실시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보정값"/>
      <sheetName val="Check List (System)"/>
      <sheetName val="Check List(Patrol)"/>
      <sheetName val="평가기준"/>
      <sheetName val="동일유형 사고 개선대책 이해, 평가"/>
      <sheetName val="안전활동결과 분석 통합 인자(안)"/>
      <sheetName val="불안전 상태 분류"/>
      <sheetName val="관리적원인 분류"/>
      <sheetName val="협력회사 명단"/>
      <sheetName val="Sheet1"/>
      <sheetName val="Sheet2"/>
      <sheetName val="Sheet3"/>
      <sheetName val="Sheet5"/>
    </sheetNames>
    <sheetDataSet>
      <sheetData sheetId="0"/>
      <sheetData sheetId="1"/>
      <sheetData sheetId="2"/>
      <sheetData sheetId="3">
        <row r="1">
          <cell r="J1" t="str">
            <v xml:space="preserve">■ 현장 명 :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A321"/>
  <sheetViews>
    <sheetView view="pageBreakPreview" zoomScale="85" zoomScaleNormal="100" zoomScaleSheetLayoutView="85" workbookViewId="0">
      <pane ySplit="4" topLeftCell="A5" activePane="bottomLeft" state="frozen"/>
      <selection pane="bottomLeft" activeCell="D7" sqref="D7"/>
    </sheetView>
  </sheetViews>
  <sheetFormatPr defaultColWidth="9" defaultRowHeight="16.5"/>
  <cols>
    <col min="1" max="1" width="3.75" customWidth="1"/>
    <col min="2" max="2" width="1.75" customWidth="1"/>
    <col min="3" max="3" width="5.625" style="121" customWidth="1"/>
    <col min="4" max="4" width="88.125" customWidth="1"/>
    <col min="5" max="7" width="7.125" style="122" customWidth="1"/>
    <col min="8" max="9" width="7.625" style="121" customWidth="1"/>
    <col min="10" max="10" width="9.875" style="121" customWidth="1"/>
    <col min="11" max="11" width="38.625" style="123" customWidth="1"/>
    <col min="13" max="13" width="7.625" style="121" customWidth="1"/>
    <col min="6183" max="6183" width="42.25" customWidth="1"/>
  </cols>
  <sheetData>
    <row r="1" spans="3:13 6183:6183" s="125" customFormat="1" ht="46.15" customHeight="1" thickBot="1">
      <c r="C1" s="1"/>
      <c r="D1" s="2" t="s">
        <v>133</v>
      </c>
      <c r="E1" s="3" t="s">
        <v>134</v>
      </c>
      <c r="F1" s="3"/>
      <c r="G1" s="3"/>
      <c r="H1" s="1"/>
      <c r="I1" s="259" t="str">
        <f>'[8]Check List(Patrol)'!J1</f>
        <v xml:space="preserve">■ 현장 명 : </v>
      </c>
      <c r="J1" s="259"/>
      <c r="K1" s="259"/>
      <c r="M1" s="126"/>
    </row>
    <row r="2" spans="3:13 6183:6183" s="125" customFormat="1" ht="9.9499999999999993" hidden="1" customHeight="1" thickBot="1">
      <c r="C2" s="1"/>
      <c r="D2" s="7"/>
      <c r="E2" s="3"/>
      <c r="F2" s="3"/>
      <c r="G2" s="3"/>
      <c r="H2" s="1"/>
      <c r="I2" s="1"/>
      <c r="J2" s="1"/>
      <c r="K2" s="8"/>
      <c r="M2" s="126"/>
    </row>
    <row r="3" spans="3:13 6183:6183" s="125" customFormat="1" ht="39.950000000000003" customHeight="1">
      <c r="C3" s="127"/>
      <c r="D3" s="128" t="s">
        <v>135</v>
      </c>
      <c r="E3" s="260" t="s">
        <v>136</v>
      </c>
      <c r="F3" s="261"/>
      <c r="G3" s="261"/>
      <c r="H3" s="129" t="s">
        <v>4</v>
      </c>
      <c r="I3" s="129" t="s">
        <v>137</v>
      </c>
      <c r="J3" s="129" t="s">
        <v>138</v>
      </c>
      <c r="K3" s="130" t="s">
        <v>139</v>
      </c>
      <c r="M3" s="131" t="s">
        <v>140</v>
      </c>
    </row>
    <row r="4" spans="3:13 6183:6183" s="125" customFormat="1" ht="47.25" customHeight="1">
      <c r="C4" s="132"/>
      <c r="D4" s="133" t="s">
        <v>141</v>
      </c>
      <c r="E4" s="262" t="s">
        <v>142</v>
      </c>
      <c r="F4" s="263"/>
      <c r="G4" s="264"/>
      <c r="H4" s="134">
        <f>SUM(H6,H10,H15,H18,H21,H24,H31,H35,H38,H40,H45,H49,,H54)</f>
        <v>200</v>
      </c>
      <c r="I4" s="134">
        <f>SUM(I6,I10,I15,I18,I21,I24,I31,I35,I38,I40,I45,I49,,I54)</f>
        <v>0</v>
      </c>
      <c r="J4" s="135">
        <f>I4/H4*100</f>
        <v>0</v>
      </c>
      <c r="K4" s="136"/>
      <c r="M4" s="137" t="e">
        <f>SUM(M6,M10,M15,M18,M21,M24,M31,M35,M38,M40,M45,M49,#REF!,M54)</f>
        <v>#REF!</v>
      </c>
      <c r="ICU4" s="265" t="s">
        <v>143</v>
      </c>
    </row>
    <row r="5" spans="3:13 6183:6183" s="125" customFormat="1" ht="3" customHeight="1">
      <c r="C5" s="138"/>
      <c r="D5" s="268"/>
      <c r="E5" s="269"/>
      <c r="F5" s="269"/>
      <c r="G5" s="269"/>
      <c r="H5" s="139"/>
      <c r="I5" s="139"/>
      <c r="J5" s="140"/>
      <c r="K5" s="141"/>
      <c r="M5" s="142"/>
      <c r="ICU5" s="266"/>
    </row>
    <row r="6" spans="3:13 6183:6183" s="125" customFormat="1" ht="19.5" customHeight="1">
      <c r="C6" s="143"/>
      <c r="D6" s="57" t="s">
        <v>144</v>
      </c>
      <c r="E6" s="70" t="s">
        <v>145</v>
      </c>
      <c r="F6" s="58" t="s">
        <v>146</v>
      </c>
      <c r="G6" s="58" t="s">
        <v>147</v>
      </c>
      <c r="H6" s="59">
        <f>SUM(H7:H9)-COUNTIF(I7:I9,"False")*5</f>
        <v>7</v>
      </c>
      <c r="I6" s="59">
        <f>SUM(I7:I9)</f>
        <v>0</v>
      </c>
      <c r="J6" s="60">
        <f>IF(I6=0,(0),SUM(J7:J9))</f>
        <v>0</v>
      </c>
      <c r="K6" s="144" t="s">
        <v>148</v>
      </c>
      <c r="M6" s="145">
        <f>SUM(M7:M9)-COUNTIF(N7:N9,"False")*5</f>
        <v>7</v>
      </c>
      <c r="ICU6" s="267"/>
    </row>
    <row r="7" spans="3:13 6183:6183" s="125" customFormat="1" ht="68.25" customHeight="1">
      <c r="C7" s="95">
        <v>1</v>
      </c>
      <c r="D7" s="146" t="s">
        <v>149</v>
      </c>
      <c r="E7" s="147"/>
      <c r="F7" s="147"/>
      <c r="G7" s="147"/>
      <c r="H7" s="98">
        <v>2</v>
      </c>
      <c r="I7" s="98">
        <f>IF(E7="O",2,IF(F7="O",1,IF(G7="O",0,0)))</f>
        <v>0</v>
      </c>
      <c r="J7" s="99">
        <f>I7*100/$H$6</f>
        <v>0</v>
      </c>
      <c r="K7" s="148"/>
      <c r="M7" s="149">
        <v>2</v>
      </c>
      <c r="ICU7" s="150" t="s">
        <v>150</v>
      </c>
    </row>
    <row r="8" spans="3:13 6183:6183" s="125" customFormat="1" ht="89.45" customHeight="1">
      <c r="C8" s="38">
        <v>2</v>
      </c>
      <c r="D8" s="151" t="s">
        <v>151</v>
      </c>
      <c r="E8" s="152"/>
      <c r="F8" s="152"/>
      <c r="G8" s="152"/>
      <c r="H8" s="153">
        <v>2</v>
      </c>
      <c r="I8" s="153">
        <f>IF(E8="O",2,IF(F8="O",1,IF(G8="O",0,0)))</f>
        <v>0</v>
      </c>
      <c r="J8" s="154">
        <f>I8*100/$H$6</f>
        <v>0</v>
      </c>
      <c r="K8" s="155"/>
      <c r="M8" s="156">
        <v>2</v>
      </c>
      <c r="ICU8" s="150" t="s">
        <v>152</v>
      </c>
    </row>
    <row r="9" spans="3:13 6183:6183" s="125" customFormat="1" ht="106.9" customHeight="1">
      <c r="C9" s="38">
        <v>3</v>
      </c>
      <c r="D9" s="157" t="s">
        <v>153</v>
      </c>
      <c r="E9" s="158"/>
      <c r="F9" s="158"/>
      <c r="G9" s="158"/>
      <c r="H9" s="159">
        <v>3</v>
      </c>
      <c r="I9" s="153">
        <f>IF(E9="O",3,IF(F9="O",1.5,IF(G9="O",0,0)))</f>
        <v>0</v>
      </c>
      <c r="J9" s="154">
        <f>I9*100/$H$6</f>
        <v>0</v>
      </c>
      <c r="K9" s="155"/>
      <c r="M9" s="156">
        <v>3</v>
      </c>
      <c r="ICU9" s="150" t="s">
        <v>154</v>
      </c>
    </row>
    <row r="10" spans="3:13 6183:6183" s="125" customFormat="1" ht="19.5" customHeight="1">
      <c r="C10" s="143"/>
      <c r="D10" s="160" t="s">
        <v>155</v>
      </c>
      <c r="E10" s="70" t="s">
        <v>145</v>
      </c>
      <c r="F10" s="58" t="s">
        <v>146</v>
      </c>
      <c r="G10" s="58" t="s">
        <v>147</v>
      </c>
      <c r="H10" s="59">
        <f>SUM(H11:H14)-COUNTIF(I11:I14,"False")*5</f>
        <v>65</v>
      </c>
      <c r="I10" s="59">
        <f>SUM(I11:I14)-COUNTIF(J11:J14,"False")*5</f>
        <v>0</v>
      </c>
      <c r="J10" s="60">
        <f>IF(I10=0,(0),SUM(J11:J14))</f>
        <v>0</v>
      </c>
      <c r="K10" s="161"/>
      <c r="M10" s="145">
        <f>SUM(M11:M14)-COUNTIF(N11:N14,"False")*5</f>
        <v>11</v>
      </c>
      <c r="ICU10" s="162"/>
    </row>
    <row r="11" spans="3:13 6183:6183" s="125" customFormat="1" ht="272.45" customHeight="1">
      <c r="C11" s="163">
        <v>4</v>
      </c>
      <c r="D11" s="164" t="s">
        <v>156</v>
      </c>
      <c r="E11" s="74"/>
      <c r="F11" s="74"/>
      <c r="G11" s="74"/>
      <c r="H11" s="97">
        <v>20</v>
      </c>
      <c r="I11" s="97">
        <f>IF(E11="O",20,IF(F11="O",10,IF(G11="O",0,0)))</f>
        <v>0</v>
      </c>
      <c r="J11" s="165">
        <f>I11*100/$H$10</f>
        <v>0</v>
      </c>
      <c r="K11" s="148"/>
      <c r="M11" s="166">
        <v>3</v>
      </c>
      <c r="ICU11" s="150" t="s">
        <v>157</v>
      </c>
    </row>
    <row r="12" spans="3:13 6183:6183" s="125" customFormat="1" ht="151.9" customHeight="1">
      <c r="C12" s="163">
        <v>5</v>
      </c>
      <c r="D12" s="146" t="s">
        <v>158</v>
      </c>
      <c r="E12" s="74"/>
      <c r="F12" s="74"/>
      <c r="G12" s="74"/>
      <c r="H12" s="97">
        <v>15</v>
      </c>
      <c r="I12" s="97">
        <f>IF(E12="O",15,IF(F12="O",7.5,IF(G12="O",0,0)))</f>
        <v>0</v>
      </c>
      <c r="J12" s="165">
        <f>I12*100/$H$10</f>
        <v>0</v>
      </c>
      <c r="K12" s="148"/>
      <c r="M12" s="166"/>
      <c r="ICU12" s="150"/>
    </row>
    <row r="13" spans="3:13 6183:6183" s="125" customFormat="1" ht="59.45" customHeight="1">
      <c r="C13" s="167">
        <v>6</v>
      </c>
      <c r="D13" s="168" t="s">
        <v>159</v>
      </c>
      <c r="E13" s="74"/>
      <c r="F13" s="74"/>
      <c r="G13" s="169"/>
      <c r="H13" s="97">
        <v>15</v>
      </c>
      <c r="I13" s="97">
        <f>IF(E13="O",15,IF(F13="O",7.5,IF(G13="O",0,0)))</f>
        <v>0</v>
      </c>
      <c r="J13" s="165">
        <f t="shared" ref="J13" si="0">I13*100/$H$10</f>
        <v>0</v>
      </c>
      <c r="K13" s="170"/>
      <c r="M13" s="166"/>
      <c r="ICU13" s="150"/>
    </row>
    <row r="14" spans="3:13 6183:6183" s="125" customFormat="1" ht="74.45" customHeight="1">
      <c r="C14" s="167">
        <v>7</v>
      </c>
      <c r="D14" s="168" t="s">
        <v>160</v>
      </c>
      <c r="E14" s="169"/>
      <c r="F14" s="169"/>
      <c r="G14" s="169"/>
      <c r="H14" s="97">
        <v>15</v>
      </c>
      <c r="I14" s="97">
        <f>IF(E14="O",15,IF(F14="O",7.5,IF(G14="O",0,0)))</f>
        <v>0</v>
      </c>
      <c r="J14" s="165">
        <f>I14*100/$H$10</f>
        <v>0</v>
      </c>
      <c r="K14" s="170"/>
      <c r="M14" s="166">
        <v>8</v>
      </c>
      <c r="ICU14" s="150"/>
    </row>
    <row r="15" spans="3:13 6183:6183" s="125" customFormat="1" ht="21" customHeight="1">
      <c r="C15" s="143"/>
      <c r="D15" s="171" t="s">
        <v>161</v>
      </c>
      <c r="E15" s="70" t="s">
        <v>145</v>
      </c>
      <c r="F15" s="58" t="s">
        <v>146</v>
      </c>
      <c r="G15" s="58" t="s">
        <v>147</v>
      </c>
      <c r="H15" s="59">
        <f>SUM(H16:H17)-COUNTIF(I16:I17,"False")*5</f>
        <v>7</v>
      </c>
      <c r="I15" s="59">
        <f>SUM(I16:I17)</f>
        <v>0</v>
      </c>
      <c r="J15" s="60">
        <f>IF(I15=0,(0),SUM(J16:J17))</f>
        <v>0</v>
      </c>
      <c r="K15" s="161"/>
      <c r="M15" s="145">
        <f>SUM(M16:M17)-COUNTIF(N16:N17,"False")*5</f>
        <v>7</v>
      </c>
      <c r="ICU15" s="162"/>
    </row>
    <row r="16" spans="3:13 6183:6183" s="172" customFormat="1" ht="79.150000000000006" customHeight="1">
      <c r="C16" s="163">
        <v>8</v>
      </c>
      <c r="D16" s="146" t="s">
        <v>162</v>
      </c>
      <c r="E16" s="74"/>
      <c r="F16" s="74"/>
      <c r="G16" s="74"/>
      <c r="H16" s="97">
        <v>2</v>
      </c>
      <c r="I16" s="98">
        <f>IF(E16="O",2,IF(F16="O",1,IF(G16="O",0,0)))</f>
        <v>0</v>
      </c>
      <c r="J16" s="99">
        <f>I16*100/$H$15</f>
        <v>0</v>
      </c>
      <c r="K16" s="148"/>
      <c r="M16" s="166">
        <v>2</v>
      </c>
      <c r="ICU16" s="150" t="s">
        <v>163</v>
      </c>
    </row>
    <row r="17" spans="1:16381" s="125" customFormat="1" ht="117" customHeight="1">
      <c r="C17" s="173">
        <v>9</v>
      </c>
      <c r="D17" s="174" t="s">
        <v>164</v>
      </c>
      <c r="E17" s="158"/>
      <c r="F17" s="158"/>
      <c r="G17" s="158"/>
      <c r="H17" s="175">
        <v>5</v>
      </c>
      <c r="I17" s="175">
        <f>IF(E17="O",5,IF(F17="O",2.5,IF(G17="O",0,0)))</f>
        <v>0</v>
      </c>
      <c r="J17" s="176">
        <f>I17*100/$H$15</f>
        <v>0</v>
      </c>
      <c r="K17" s="177"/>
      <c r="M17" s="178">
        <v>5</v>
      </c>
      <c r="JV17" s="179"/>
      <c r="JW17" s="179"/>
      <c r="JX17" s="179"/>
      <c r="JY17" s="179"/>
      <c r="JZ17" s="179"/>
      <c r="KA17" s="179"/>
      <c r="KB17" s="179"/>
      <c r="KC17" s="179"/>
      <c r="KD17" s="179"/>
      <c r="KE17" s="179"/>
      <c r="KF17" s="179"/>
      <c r="KG17" s="179"/>
      <c r="KH17" s="179"/>
      <c r="KI17" s="179"/>
      <c r="KJ17" s="179"/>
      <c r="KK17" s="179"/>
      <c r="KL17" s="179"/>
      <c r="KM17" s="179"/>
      <c r="KN17" s="179"/>
      <c r="KO17" s="179"/>
      <c r="KP17" s="179"/>
      <c r="KQ17" s="179"/>
      <c r="KR17" s="179"/>
      <c r="KS17" s="179"/>
      <c r="KT17" s="179"/>
      <c r="KU17" s="179"/>
      <c r="KV17" s="179"/>
      <c r="KW17" s="179"/>
      <c r="KX17" s="179"/>
      <c r="KY17" s="179"/>
      <c r="KZ17" s="179"/>
      <c r="LA17" s="179"/>
      <c r="LB17" s="179"/>
      <c r="LC17" s="179"/>
      <c r="LD17" s="179"/>
      <c r="LE17" s="179"/>
      <c r="LF17" s="179"/>
      <c r="LG17" s="179"/>
      <c r="LH17" s="179"/>
      <c r="LI17" s="179"/>
      <c r="LJ17" s="179"/>
      <c r="LK17" s="179"/>
      <c r="LL17" s="179"/>
      <c r="LM17" s="179"/>
      <c r="LN17" s="179"/>
      <c r="LO17" s="179"/>
      <c r="LP17" s="179"/>
      <c r="LQ17" s="179"/>
      <c r="LR17" s="179"/>
      <c r="LS17" s="179"/>
      <c r="LT17" s="179"/>
      <c r="LU17" s="179"/>
      <c r="LV17" s="179"/>
      <c r="LW17" s="179"/>
      <c r="LX17" s="179"/>
      <c r="LY17" s="179"/>
      <c r="LZ17" s="179"/>
      <c r="MA17" s="179"/>
      <c r="MB17" s="179"/>
      <c r="MC17" s="179"/>
      <c r="MD17" s="179"/>
      <c r="ME17" s="179"/>
      <c r="MF17" s="179"/>
      <c r="MG17" s="179"/>
      <c r="MH17" s="179"/>
      <c r="MI17" s="179"/>
      <c r="MJ17" s="179"/>
      <c r="MK17" s="179"/>
      <c r="ML17" s="179"/>
      <c r="MM17" s="179"/>
      <c r="MN17" s="179"/>
      <c r="MO17" s="179"/>
      <c r="MP17" s="179"/>
      <c r="MQ17" s="179"/>
      <c r="MR17" s="179"/>
      <c r="MS17" s="179"/>
      <c r="MT17" s="179"/>
      <c r="MU17" s="179"/>
      <c r="MV17" s="179"/>
      <c r="MW17" s="179"/>
      <c r="MX17" s="179"/>
      <c r="MY17" s="179"/>
      <c r="MZ17" s="179"/>
      <c r="NA17" s="179"/>
      <c r="NB17" s="179"/>
      <c r="NC17" s="179"/>
      <c r="ND17" s="179"/>
      <c r="NE17" s="179"/>
      <c r="NF17" s="179"/>
      <c r="NG17" s="179"/>
      <c r="NH17" s="179"/>
      <c r="NI17" s="179"/>
      <c r="NJ17" s="179"/>
      <c r="NK17" s="179"/>
      <c r="NL17" s="179"/>
      <c r="NM17" s="179"/>
      <c r="NN17" s="179"/>
      <c r="NO17" s="179"/>
      <c r="NP17" s="179"/>
      <c r="NQ17" s="179"/>
      <c r="NR17" s="179"/>
      <c r="NS17" s="179"/>
      <c r="NT17" s="179"/>
      <c r="NU17" s="179"/>
      <c r="NV17" s="179"/>
      <c r="NW17" s="179"/>
      <c r="NX17" s="179"/>
      <c r="NY17" s="179"/>
      <c r="NZ17" s="179"/>
      <c r="OA17" s="179"/>
      <c r="OB17" s="179"/>
      <c r="OC17" s="179"/>
      <c r="OD17" s="179"/>
      <c r="OE17" s="179"/>
      <c r="OF17" s="179"/>
      <c r="OG17" s="179"/>
      <c r="OH17" s="179"/>
      <c r="OI17" s="179"/>
      <c r="OJ17" s="179"/>
      <c r="OK17" s="179"/>
      <c r="OL17" s="179"/>
      <c r="OM17" s="179"/>
      <c r="ON17" s="179"/>
      <c r="OO17" s="179"/>
      <c r="OP17" s="179"/>
      <c r="OQ17" s="179"/>
      <c r="OR17" s="179"/>
      <c r="OS17" s="179"/>
      <c r="OT17" s="179"/>
      <c r="OU17" s="179"/>
      <c r="OV17" s="179"/>
      <c r="OW17" s="179"/>
      <c r="OX17" s="179"/>
      <c r="OY17" s="179"/>
      <c r="OZ17" s="179"/>
      <c r="PA17" s="179"/>
      <c r="PB17" s="179"/>
      <c r="PC17" s="179"/>
      <c r="PD17" s="179"/>
      <c r="PE17" s="179"/>
      <c r="PF17" s="179"/>
      <c r="PG17" s="179"/>
      <c r="PH17" s="179"/>
      <c r="PI17" s="179"/>
      <c r="PJ17" s="179"/>
      <c r="PK17" s="179"/>
      <c r="PL17" s="179"/>
      <c r="PM17" s="179"/>
      <c r="PN17" s="179"/>
      <c r="PO17" s="179"/>
      <c r="PP17" s="179"/>
      <c r="PQ17" s="179"/>
      <c r="PR17" s="179"/>
      <c r="PS17" s="179"/>
      <c r="PT17" s="179"/>
      <c r="PU17" s="179"/>
      <c r="PV17" s="179"/>
      <c r="PW17" s="179"/>
      <c r="PX17" s="179"/>
      <c r="PY17" s="179"/>
      <c r="PZ17" s="179"/>
      <c r="QA17" s="179"/>
      <c r="QB17" s="179"/>
      <c r="QC17" s="179"/>
      <c r="QD17" s="179"/>
      <c r="QE17" s="179"/>
      <c r="QF17" s="179"/>
      <c r="QG17" s="179"/>
      <c r="QH17" s="179"/>
      <c r="QI17" s="179"/>
      <c r="QJ17" s="179"/>
      <c r="QK17" s="179"/>
      <c r="QL17" s="179"/>
      <c r="QM17" s="179"/>
      <c r="QN17" s="179"/>
      <c r="QO17" s="179"/>
      <c r="QP17" s="179"/>
      <c r="QQ17" s="179"/>
      <c r="QR17" s="179"/>
      <c r="QS17" s="179"/>
      <c r="QT17" s="179"/>
      <c r="QU17" s="179"/>
      <c r="QV17" s="179"/>
      <c r="QW17" s="179"/>
      <c r="QX17" s="179"/>
      <c r="QY17" s="179"/>
      <c r="QZ17" s="179"/>
      <c r="RA17" s="179"/>
      <c r="RB17" s="179"/>
      <c r="RC17" s="179"/>
      <c r="RD17" s="179"/>
      <c r="RE17" s="179"/>
      <c r="RF17" s="179"/>
      <c r="RG17" s="179"/>
      <c r="RH17" s="179"/>
      <c r="RI17" s="179"/>
      <c r="RJ17" s="179"/>
      <c r="RK17" s="179"/>
      <c r="RL17" s="179"/>
      <c r="ICU17" s="150" t="s">
        <v>165</v>
      </c>
    </row>
    <row r="18" spans="1:16381" s="125" customFormat="1" ht="21.75" customHeight="1">
      <c r="C18" s="143"/>
      <c r="D18" s="171" t="s">
        <v>166</v>
      </c>
      <c r="E18" s="70" t="s">
        <v>145</v>
      </c>
      <c r="F18" s="58" t="s">
        <v>146</v>
      </c>
      <c r="G18" s="58" t="s">
        <v>147</v>
      </c>
      <c r="H18" s="59">
        <f>SUM(H19:H20)-COUNTIF(I19:I20,"False")*5</f>
        <v>12</v>
      </c>
      <c r="I18" s="59">
        <f>SUM(I19:I20)</f>
        <v>0</v>
      </c>
      <c r="J18" s="60">
        <f>IF(I18=0,(0),SUM(J19:J20))</f>
        <v>0</v>
      </c>
      <c r="K18" s="161"/>
      <c r="M18" s="145">
        <f>SUM(M19:M20)-COUNTIF(N19:N20,"False")*5</f>
        <v>12</v>
      </c>
      <c r="JV18" s="179"/>
      <c r="JW18" s="179"/>
      <c r="JX18" s="179"/>
      <c r="JY18" s="179"/>
      <c r="JZ18" s="179"/>
      <c r="KA18" s="179"/>
      <c r="KB18" s="179"/>
      <c r="KC18" s="179"/>
      <c r="KD18" s="179"/>
      <c r="KE18" s="179"/>
      <c r="KF18" s="179"/>
      <c r="KG18" s="179"/>
      <c r="KH18" s="179"/>
      <c r="KI18" s="179"/>
      <c r="KJ18" s="179"/>
      <c r="KK18" s="179"/>
      <c r="KL18" s="179"/>
      <c r="KM18" s="179"/>
      <c r="KN18" s="179"/>
      <c r="KO18" s="179"/>
      <c r="KP18" s="179"/>
      <c r="KQ18" s="179"/>
      <c r="KR18" s="179"/>
      <c r="KS18" s="179"/>
      <c r="KT18" s="179"/>
      <c r="KU18" s="179"/>
      <c r="KV18" s="179"/>
      <c r="KW18" s="179"/>
      <c r="KX18" s="179"/>
      <c r="KY18" s="179"/>
      <c r="KZ18" s="179"/>
      <c r="LA18" s="179"/>
      <c r="LB18" s="179"/>
      <c r="LC18" s="179"/>
      <c r="LD18" s="179"/>
      <c r="LE18" s="179"/>
      <c r="LF18" s="179"/>
      <c r="LG18" s="179"/>
      <c r="LH18" s="179"/>
      <c r="LI18" s="179"/>
      <c r="LJ18" s="179"/>
      <c r="LK18" s="179"/>
      <c r="LL18" s="179"/>
      <c r="LM18" s="179"/>
      <c r="LN18" s="179"/>
      <c r="LO18" s="179"/>
      <c r="LP18" s="179"/>
      <c r="LQ18" s="179"/>
      <c r="LR18" s="179"/>
      <c r="LS18" s="179"/>
      <c r="LT18" s="179"/>
      <c r="LU18" s="179"/>
      <c r="LV18" s="179"/>
      <c r="LW18" s="179"/>
      <c r="LX18" s="179"/>
      <c r="LY18" s="179"/>
      <c r="LZ18" s="179"/>
      <c r="MA18" s="179"/>
      <c r="MB18" s="179"/>
      <c r="MC18" s="179"/>
      <c r="MD18" s="179"/>
      <c r="ME18" s="179"/>
      <c r="MF18" s="179"/>
      <c r="MG18" s="179"/>
      <c r="MH18" s="179"/>
      <c r="MI18" s="179"/>
      <c r="MJ18" s="179"/>
      <c r="MK18" s="179"/>
      <c r="ML18" s="179"/>
      <c r="MM18" s="179"/>
      <c r="MN18" s="179"/>
      <c r="MO18" s="179"/>
      <c r="MP18" s="179"/>
      <c r="MQ18" s="179"/>
      <c r="MR18" s="179"/>
      <c r="MS18" s="179"/>
      <c r="MT18" s="179"/>
      <c r="MU18" s="179"/>
      <c r="MV18" s="179"/>
      <c r="MW18" s="179"/>
      <c r="MX18" s="179"/>
      <c r="MY18" s="179"/>
      <c r="MZ18" s="179"/>
      <c r="NA18" s="179"/>
      <c r="NB18" s="179"/>
      <c r="NC18" s="179"/>
      <c r="ND18" s="179"/>
      <c r="NE18" s="179"/>
      <c r="NF18" s="179"/>
      <c r="NG18" s="179"/>
      <c r="NH18" s="179"/>
      <c r="NI18" s="179"/>
      <c r="NJ18" s="179"/>
      <c r="NK18" s="179"/>
      <c r="NL18" s="179"/>
      <c r="NM18" s="179"/>
      <c r="NN18" s="179"/>
      <c r="NO18" s="179"/>
      <c r="NP18" s="179"/>
      <c r="NQ18" s="179"/>
      <c r="NR18" s="179"/>
      <c r="NS18" s="179"/>
      <c r="NT18" s="179"/>
      <c r="NU18" s="179"/>
      <c r="NV18" s="179"/>
      <c r="NW18" s="179"/>
      <c r="NX18" s="179"/>
      <c r="NY18" s="179"/>
      <c r="NZ18" s="179"/>
      <c r="OA18" s="179"/>
      <c r="OB18" s="179"/>
      <c r="OC18" s="179"/>
      <c r="OD18" s="179"/>
      <c r="OE18" s="179"/>
      <c r="OF18" s="179"/>
      <c r="OG18" s="179"/>
      <c r="OH18" s="179"/>
      <c r="OI18" s="179"/>
      <c r="OJ18" s="179"/>
      <c r="OK18" s="179"/>
      <c r="OL18" s="179"/>
      <c r="OM18" s="179"/>
      <c r="ON18" s="179"/>
      <c r="OO18" s="179"/>
      <c r="OP18" s="179"/>
      <c r="OQ18" s="179"/>
      <c r="OR18" s="179"/>
      <c r="OS18" s="179"/>
      <c r="OT18" s="179"/>
      <c r="OU18" s="179"/>
      <c r="OV18" s="179"/>
      <c r="OW18" s="179"/>
      <c r="OX18" s="179"/>
      <c r="OY18" s="179"/>
      <c r="OZ18" s="179"/>
      <c r="PA18" s="179"/>
      <c r="PB18" s="179"/>
      <c r="PC18" s="179"/>
      <c r="PD18" s="179"/>
      <c r="PE18" s="179"/>
      <c r="PF18" s="179"/>
      <c r="PG18" s="179"/>
      <c r="PH18" s="179"/>
      <c r="PI18" s="179"/>
      <c r="PJ18" s="179"/>
      <c r="PK18" s="179"/>
      <c r="PL18" s="179"/>
      <c r="PM18" s="179"/>
      <c r="PN18" s="179"/>
      <c r="PO18" s="179"/>
      <c r="PP18" s="179"/>
      <c r="PQ18" s="179"/>
      <c r="PR18" s="179"/>
      <c r="PS18" s="179"/>
      <c r="PT18" s="179"/>
      <c r="PU18" s="179"/>
      <c r="PV18" s="179"/>
      <c r="PW18" s="179"/>
      <c r="PX18" s="179"/>
      <c r="PY18" s="179"/>
      <c r="PZ18" s="179"/>
      <c r="QA18" s="179"/>
      <c r="QB18" s="179"/>
      <c r="QC18" s="179"/>
      <c r="QD18" s="179"/>
      <c r="QE18" s="179"/>
      <c r="QF18" s="179"/>
      <c r="QG18" s="179"/>
      <c r="QH18" s="179"/>
      <c r="QI18" s="179"/>
      <c r="QJ18" s="179"/>
      <c r="QK18" s="179"/>
      <c r="QL18" s="179"/>
      <c r="QM18" s="179"/>
      <c r="QN18" s="179"/>
      <c r="QO18" s="179"/>
      <c r="QP18" s="179"/>
      <c r="QQ18" s="179"/>
      <c r="QR18" s="179"/>
      <c r="QS18" s="179"/>
      <c r="QT18" s="179"/>
      <c r="QU18" s="179"/>
      <c r="QV18" s="179"/>
      <c r="QW18" s="179"/>
      <c r="QX18" s="179"/>
      <c r="QY18" s="179"/>
      <c r="QZ18" s="179"/>
      <c r="RA18" s="179"/>
      <c r="RB18" s="179"/>
      <c r="RC18" s="179"/>
      <c r="RD18" s="179"/>
      <c r="RE18" s="179"/>
      <c r="RF18" s="179"/>
      <c r="RG18" s="179"/>
      <c r="RH18" s="179"/>
      <c r="RI18" s="179"/>
      <c r="RJ18" s="179"/>
      <c r="RK18" s="179"/>
      <c r="RL18" s="179"/>
      <c r="ICU18" s="162"/>
    </row>
    <row r="19" spans="1:16381" s="125" customFormat="1" ht="181.9" customHeight="1">
      <c r="C19" s="95">
        <v>10</v>
      </c>
      <c r="D19" s="146" t="s">
        <v>167</v>
      </c>
      <c r="E19" s="180"/>
      <c r="F19" s="147"/>
      <c r="G19" s="147"/>
      <c r="H19" s="98">
        <v>4</v>
      </c>
      <c r="I19" s="98">
        <f>IF(E19="O",4,IF(F19="O",2,IF(G19="O",0,0)))</f>
        <v>0</v>
      </c>
      <c r="J19" s="99">
        <f>I19*100/$H$18</f>
        <v>0</v>
      </c>
      <c r="K19" s="181" t="s">
        <v>148</v>
      </c>
      <c r="M19" s="149">
        <v>4</v>
      </c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79"/>
      <c r="DC19" s="179"/>
      <c r="DD19" s="179"/>
      <c r="DE19" s="179"/>
      <c r="DF19" s="179"/>
      <c r="DG19" s="179"/>
      <c r="DH19" s="179"/>
      <c r="DI19" s="179"/>
      <c r="DJ19" s="179"/>
      <c r="DK19" s="179"/>
      <c r="DL19" s="179"/>
      <c r="DM19" s="179"/>
      <c r="DN19" s="179"/>
      <c r="DO19" s="179"/>
      <c r="DP19" s="179"/>
      <c r="DQ19" s="179"/>
      <c r="DR19" s="179"/>
      <c r="DS19" s="179"/>
      <c r="DT19" s="179"/>
      <c r="DU19" s="179"/>
      <c r="DV19" s="179"/>
      <c r="DW19" s="179"/>
      <c r="DX19" s="179"/>
      <c r="DY19" s="179"/>
      <c r="DZ19" s="179"/>
      <c r="EA19" s="179"/>
      <c r="EB19" s="179"/>
      <c r="EC19" s="179"/>
      <c r="ED19" s="179"/>
      <c r="EE19" s="179"/>
      <c r="EF19" s="179"/>
      <c r="EG19" s="179"/>
      <c r="EH19" s="179"/>
      <c r="EI19" s="179"/>
      <c r="EJ19" s="179"/>
      <c r="EK19" s="179"/>
      <c r="EL19" s="179"/>
      <c r="EM19" s="179"/>
      <c r="EN19" s="179"/>
      <c r="EO19" s="179"/>
      <c r="EP19" s="179"/>
      <c r="EQ19" s="179"/>
      <c r="ER19" s="179"/>
      <c r="ES19" s="179"/>
      <c r="ET19" s="179"/>
      <c r="EU19" s="179"/>
      <c r="EV19" s="179"/>
      <c r="EW19" s="179"/>
      <c r="EX19" s="179"/>
      <c r="EY19" s="179"/>
      <c r="EZ19" s="179"/>
      <c r="FA19" s="179"/>
      <c r="FB19" s="179"/>
      <c r="FC19" s="179"/>
      <c r="FD19" s="179"/>
      <c r="FE19" s="179"/>
      <c r="FF19" s="179"/>
      <c r="FG19" s="179"/>
      <c r="FH19" s="179"/>
      <c r="FI19" s="179"/>
      <c r="FJ19" s="179"/>
      <c r="FK19" s="179"/>
      <c r="FL19" s="179"/>
      <c r="FM19" s="179"/>
      <c r="FN19" s="179"/>
      <c r="FO19" s="179"/>
      <c r="FP19" s="179"/>
      <c r="FQ19" s="179"/>
      <c r="FR19" s="179"/>
      <c r="FS19" s="179"/>
      <c r="FT19" s="179"/>
      <c r="FU19" s="179"/>
      <c r="FV19" s="179"/>
      <c r="FW19" s="179"/>
      <c r="FX19" s="179"/>
      <c r="FY19" s="179"/>
      <c r="FZ19" s="179"/>
      <c r="GA19" s="179"/>
      <c r="GB19" s="179"/>
      <c r="GC19" s="179"/>
      <c r="GD19" s="179"/>
      <c r="GE19" s="179"/>
      <c r="GF19" s="179"/>
      <c r="GG19" s="179"/>
      <c r="GH19" s="179"/>
      <c r="GI19" s="179"/>
      <c r="GJ19" s="179"/>
      <c r="GK19" s="179"/>
      <c r="GL19" s="179"/>
      <c r="GM19" s="179"/>
      <c r="GN19" s="179"/>
      <c r="GO19" s="179"/>
      <c r="GP19" s="179"/>
      <c r="GQ19" s="179"/>
      <c r="GR19" s="179"/>
      <c r="GS19" s="179"/>
      <c r="GT19" s="179"/>
      <c r="GU19" s="179"/>
      <c r="GV19" s="179"/>
      <c r="GW19" s="179"/>
      <c r="GX19" s="179"/>
      <c r="GY19" s="179"/>
      <c r="GZ19" s="179"/>
      <c r="HA19" s="179"/>
      <c r="HB19" s="179"/>
      <c r="HC19" s="179"/>
      <c r="HD19" s="179"/>
      <c r="HE19" s="179"/>
      <c r="HF19" s="179"/>
      <c r="HG19" s="179"/>
      <c r="HH19" s="179"/>
      <c r="HI19" s="179"/>
      <c r="HJ19" s="179"/>
      <c r="HK19" s="179"/>
      <c r="HL19" s="179"/>
      <c r="HM19" s="179"/>
      <c r="HN19" s="179"/>
      <c r="HO19" s="179"/>
      <c r="HP19" s="179"/>
      <c r="HQ19" s="179"/>
      <c r="HR19" s="179"/>
      <c r="HS19" s="179"/>
      <c r="HT19" s="179"/>
      <c r="HU19" s="179"/>
      <c r="HV19" s="179"/>
      <c r="HW19" s="179"/>
      <c r="HX19" s="179"/>
      <c r="HY19" s="179"/>
      <c r="HZ19" s="179"/>
      <c r="IA19" s="179"/>
      <c r="IB19" s="179"/>
      <c r="IC19" s="179"/>
      <c r="ID19" s="179"/>
      <c r="IE19" s="179"/>
      <c r="IF19" s="179"/>
      <c r="IG19" s="179"/>
      <c r="IH19" s="179"/>
      <c r="II19" s="179"/>
      <c r="IJ19" s="179"/>
      <c r="IK19" s="179"/>
      <c r="IL19" s="179"/>
      <c r="IM19" s="179"/>
      <c r="IN19" s="179"/>
      <c r="IO19" s="179"/>
      <c r="IP19" s="179"/>
      <c r="IQ19" s="179"/>
      <c r="IR19" s="179"/>
      <c r="IS19" s="179"/>
      <c r="IT19" s="179"/>
      <c r="IU19" s="179"/>
      <c r="IV19" s="179"/>
      <c r="IW19" s="179"/>
      <c r="IX19" s="179"/>
      <c r="IY19" s="179"/>
      <c r="IZ19" s="179"/>
      <c r="JA19" s="179"/>
      <c r="JB19" s="179"/>
      <c r="JC19" s="179"/>
      <c r="JD19" s="179"/>
      <c r="JE19" s="179"/>
      <c r="JF19" s="179"/>
      <c r="JG19" s="179"/>
      <c r="JH19" s="179"/>
      <c r="JI19" s="179"/>
      <c r="JJ19" s="179"/>
      <c r="JK19" s="179"/>
      <c r="JL19" s="179"/>
      <c r="JM19" s="179"/>
      <c r="JN19" s="179"/>
      <c r="JO19" s="179"/>
      <c r="JP19" s="179"/>
      <c r="JQ19" s="179"/>
      <c r="JR19" s="179"/>
      <c r="JS19" s="179"/>
      <c r="JT19" s="179"/>
      <c r="JU19" s="179"/>
      <c r="JV19" s="179"/>
      <c r="JW19" s="179"/>
      <c r="JX19" s="179"/>
      <c r="JY19" s="179"/>
      <c r="JZ19" s="179"/>
      <c r="KA19" s="179"/>
      <c r="KB19" s="179"/>
      <c r="KC19" s="179"/>
      <c r="KD19" s="179"/>
      <c r="KE19" s="179"/>
      <c r="KF19" s="179"/>
      <c r="KG19" s="179"/>
      <c r="KH19" s="179"/>
      <c r="KI19" s="179"/>
      <c r="KJ19" s="179"/>
      <c r="KK19" s="179"/>
      <c r="KL19" s="179"/>
      <c r="KM19" s="179"/>
      <c r="KN19" s="179"/>
      <c r="KO19" s="179"/>
      <c r="KP19" s="179"/>
      <c r="KQ19" s="179"/>
      <c r="KR19" s="179"/>
      <c r="KS19" s="179"/>
      <c r="KT19" s="179"/>
      <c r="KU19" s="179"/>
      <c r="KV19" s="179"/>
      <c r="KW19" s="179"/>
      <c r="KX19" s="179"/>
      <c r="KY19" s="179"/>
      <c r="KZ19" s="179"/>
      <c r="LA19" s="179"/>
      <c r="LB19" s="179"/>
      <c r="LC19" s="179"/>
      <c r="LD19" s="179"/>
      <c r="LE19" s="179"/>
      <c r="LF19" s="179"/>
      <c r="LG19" s="179"/>
      <c r="LH19" s="179"/>
      <c r="LI19" s="179"/>
      <c r="LJ19" s="179"/>
      <c r="LK19" s="179"/>
      <c r="LL19" s="179"/>
      <c r="LM19" s="179"/>
      <c r="LN19" s="179"/>
      <c r="LO19" s="179"/>
      <c r="LP19" s="179"/>
      <c r="LQ19" s="179"/>
      <c r="LR19" s="179"/>
      <c r="LS19" s="179"/>
      <c r="LT19" s="179"/>
      <c r="LU19" s="179"/>
      <c r="LV19" s="179"/>
      <c r="LW19" s="179"/>
      <c r="LX19" s="179"/>
      <c r="LY19" s="179"/>
      <c r="LZ19" s="179"/>
      <c r="MA19" s="179"/>
      <c r="MB19" s="179"/>
      <c r="MC19" s="179"/>
      <c r="MD19" s="179"/>
      <c r="ME19" s="179"/>
      <c r="MF19" s="179"/>
      <c r="MG19" s="179"/>
      <c r="MH19" s="179"/>
      <c r="MI19" s="179"/>
      <c r="MJ19" s="179"/>
      <c r="MK19" s="179"/>
      <c r="ML19" s="179"/>
      <c r="MM19" s="179"/>
      <c r="MN19" s="179"/>
      <c r="MO19" s="179"/>
      <c r="MP19" s="179"/>
      <c r="MQ19" s="179"/>
      <c r="MR19" s="179"/>
      <c r="MS19" s="179"/>
      <c r="MT19" s="179"/>
      <c r="MU19" s="179"/>
      <c r="MV19" s="179"/>
      <c r="MW19" s="179"/>
      <c r="MX19" s="179"/>
      <c r="MY19" s="179"/>
      <c r="MZ19" s="179"/>
      <c r="NA19" s="179"/>
      <c r="NB19" s="179"/>
      <c r="NC19" s="179"/>
      <c r="ND19" s="179"/>
      <c r="NE19" s="179"/>
      <c r="NF19" s="179"/>
      <c r="NG19" s="179"/>
      <c r="NH19" s="179"/>
      <c r="NI19" s="179"/>
      <c r="NJ19" s="179"/>
      <c r="NK19" s="179"/>
      <c r="NL19" s="179"/>
      <c r="NM19" s="179"/>
      <c r="NN19" s="179"/>
      <c r="NO19" s="179"/>
      <c r="NP19" s="179"/>
      <c r="NQ19" s="179"/>
      <c r="NR19" s="179"/>
      <c r="NS19" s="179"/>
      <c r="NT19" s="179"/>
      <c r="NU19" s="179"/>
      <c r="NV19" s="179"/>
      <c r="NW19" s="179"/>
      <c r="NX19" s="179"/>
      <c r="NY19" s="179"/>
      <c r="NZ19" s="179"/>
      <c r="OA19" s="179"/>
      <c r="OB19" s="179"/>
      <c r="OC19" s="179"/>
      <c r="OD19" s="179"/>
      <c r="OE19" s="179"/>
      <c r="OF19" s="179"/>
      <c r="OG19" s="179"/>
      <c r="OH19" s="179"/>
      <c r="OI19" s="179"/>
      <c r="OJ19" s="179"/>
      <c r="OK19" s="179"/>
      <c r="OL19" s="179"/>
      <c r="OM19" s="179"/>
      <c r="ON19" s="179"/>
      <c r="OO19" s="179"/>
      <c r="OP19" s="179"/>
      <c r="OQ19" s="179"/>
      <c r="OR19" s="179"/>
      <c r="OS19" s="179"/>
      <c r="OT19" s="179"/>
      <c r="OU19" s="179"/>
      <c r="OV19" s="179"/>
      <c r="OW19" s="179"/>
      <c r="OX19" s="179"/>
      <c r="OY19" s="179"/>
      <c r="OZ19" s="179"/>
      <c r="PA19" s="179"/>
      <c r="PB19" s="179"/>
      <c r="PC19" s="179"/>
      <c r="PD19" s="179"/>
      <c r="PE19" s="179"/>
      <c r="PF19" s="179"/>
      <c r="PG19" s="179"/>
      <c r="PH19" s="179"/>
      <c r="PI19" s="179"/>
      <c r="PJ19" s="179"/>
      <c r="PK19" s="179"/>
      <c r="PL19" s="179"/>
      <c r="PM19" s="179"/>
      <c r="PN19" s="179"/>
      <c r="PO19" s="179"/>
      <c r="PP19" s="179"/>
      <c r="PQ19" s="179"/>
      <c r="PR19" s="179"/>
      <c r="PS19" s="179"/>
      <c r="PT19" s="179"/>
      <c r="PU19" s="179"/>
      <c r="PV19" s="179"/>
      <c r="PW19" s="179"/>
      <c r="PX19" s="179"/>
      <c r="PY19" s="179"/>
      <c r="PZ19" s="179"/>
      <c r="QA19" s="179"/>
      <c r="QB19" s="179"/>
      <c r="QC19" s="179"/>
      <c r="QD19" s="179"/>
      <c r="QE19" s="179"/>
      <c r="QF19" s="179"/>
      <c r="QG19" s="179"/>
      <c r="QH19" s="179"/>
      <c r="QI19" s="179"/>
      <c r="QJ19" s="179"/>
      <c r="QK19" s="179"/>
      <c r="QL19" s="179"/>
      <c r="QM19" s="179"/>
      <c r="QN19" s="179"/>
      <c r="QO19" s="179"/>
      <c r="QP19" s="179"/>
      <c r="QQ19" s="179"/>
      <c r="QR19" s="179"/>
      <c r="QS19" s="179"/>
      <c r="QT19" s="179"/>
      <c r="QU19" s="179"/>
      <c r="QV19" s="179"/>
      <c r="QW19" s="179"/>
      <c r="QX19" s="179"/>
      <c r="QY19" s="179"/>
      <c r="QZ19" s="179"/>
      <c r="RA19" s="179"/>
      <c r="RB19" s="179"/>
      <c r="RC19" s="179"/>
      <c r="RD19" s="179"/>
      <c r="RE19" s="179"/>
      <c r="RF19" s="179"/>
      <c r="RG19" s="179"/>
      <c r="RH19" s="179"/>
      <c r="RI19" s="179"/>
      <c r="RJ19" s="179"/>
      <c r="RK19" s="179"/>
      <c r="RL19" s="179"/>
      <c r="ICU19" s="150" t="s">
        <v>168</v>
      </c>
    </row>
    <row r="20" spans="1:16381" s="125" customFormat="1" ht="192.6" customHeight="1" thickBot="1">
      <c r="C20" s="173">
        <v>11</v>
      </c>
      <c r="D20" s="174" t="s">
        <v>169</v>
      </c>
      <c r="E20" s="182"/>
      <c r="F20" s="182"/>
      <c r="G20" s="182"/>
      <c r="H20" s="183">
        <v>8</v>
      </c>
      <c r="I20" s="175">
        <f>IF(E20="O",8,IF(F20="O",4,IF(G20="O",0,0)))</f>
        <v>0</v>
      </c>
      <c r="J20" s="176">
        <f>I20*100/$H$18</f>
        <v>0</v>
      </c>
      <c r="K20" s="184" t="s">
        <v>170</v>
      </c>
      <c r="M20" s="185">
        <v>8</v>
      </c>
      <c r="BR20" s="179"/>
      <c r="BS20" s="179"/>
      <c r="BT20" s="179"/>
      <c r="BU20" s="179"/>
      <c r="BV20" s="179"/>
      <c r="BW20" s="179"/>
      <c r="BX20" s="179"/>
      <c r="BY20" s="179"/>
      <c r="BZ20" s="179"/>
      <c r="CA20" s="179"/>
      <c r="CB20" s="179"/>
      <c r="CC20" s="179"/>
      <c r="CD20" s="179"/>
      <c r="CE20" s="179"/>
      <c r="CF20" s="179"/>
      <c r="CG20" s="179"/>
      <c r="CH20" s="179"/>
      <c r="CI20" s="179"/>
      <c r="CJ20" s="179"/>
      <c r="CK20" s="179"/>
      <c r="CL20" s="179"/>
      <c r="CM20" s="179"/>
      <c r="CN20" s="179"/>
      <c r="CO20" s="179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  <c r="DB20" s="179"/>
      <c r="DC20" s="179"/>
      <c r="DD20" s="179"/>
      <c r="DE20" s="179"/>
      <c r="DF20" s="179"/>
      <c r="DG20" s="179"/>
      <c r="DH20" s="179"/>
      <c r="DI20" s="179"/>
      <c r="DJ20" s="179"/>
      <c r="DK20" s="179"/>
      <c r="DL20" s="179"/>
      <c r="DM20" s="179"/>
      <c r="DN20" s="179"/>
      <c r="DO20" s="179"/>
      <c r="DP20" s="179"/>
      <c r="DQ20" s="179"/>
      <c r="DR20" s="179"/>
      <c r="DS20" s="179"/>
      <c r="DT20" s="179"/>
      <c r="DU20" s="179"/>
      <c r="DV20" s="179"/>
      <c r="DW20" s="179"/>
      <c r="DX20" s="179"/>
      <c r="DY20" s="179"/>
      <c r="DZ20" s="179"/>
      <c r="EA20" s="179"/>
      <c r="EB20" s="179"/>
      <c r="EC20" s="179"/>
      <c r="ED20" s="179"/>
      <c r="EE20" s="179"/>
      <c r="EF20" s="179"/>
      <c r="EG20" s="179"/>
      <c r="EH20" s="179"/>
      <c r="EI20" s="179"/>
      <c r="EJ20" s="179"/>
      <c r="EK20" s="179"/>
      <c r="EL20" s="179"/>
      <c r="EM20" s="179"/>
      <c r="EN20" s="179"/>
      <c r="EO20" s="179"/>
      <c r="EP20" s="179"/>
      <c r="EQ20" s="179"/>
      <c r="ER20" s="179"/>
      <c r="ES20" s="179"/>
      <c r="ET20" s="179"/>
      <c r="EU20" s="179"/>
      <c r="EV20" s="179"/>
      <c r="EW20" s="179"/>
      <c r="EX20" s="179"/>
      <c r="EY20" s="179"/>
      <c r="EZ20" s="179"/>
      <c r="FA20" s="179"/>
      <c r="FB20" s="179"/>
      <c r="FC20" s="179"/>
      <c r="FD20" s="179"/>
      <c r="FE20" s="179"/>
      <c r="FF20" s="179"/>
      <c r="FG20" s="179"/>
      <c r="FH20" s="179"/>
      <c r="FI20" s="179"/>
      <c r="FJ20" s="179"/>
      <c r="FK20" s="179"/>
      <c r="FL20" s="179"/>
      <c r="FM20" s="179"/>
      <c r="FN20" s="179"/>
      <c r="FO20" s="179"/>
      <c r="FP20" s="179"/>
      <c r="FQ20" s="179"/>
      <c r="FR20" s="179"/>
      <c r="FS20" s="179"/>
      <c r="FT20" s="179"/>
      <c r="FU20" s="179"/>
      <c r="FV20" s="179"/>
      <c r="FW20" s="179"/>
      <c r="FX20" s="179"/>
      <c r="FY20" s="179"/>
      <c r="FZ20" s="179"/>
      <c r="GA20" s="179"/>
      <c r="GB20" s="179"/>
      <c r="GC20" s="179"/>
      <c r="GD20" s="179"/>
      <c r="GE20" s="179"/>
      <c r="GF20" s="179"/>
      <c r="GG20" s="179"/>
      <c r="GH20" s="179"/>
      <c r="GI20" s="179"/>
      <c r="GJ20" s="179"/>
      <c r="GK20" s="179"/>
      <c r="GL20" s="179"/>
      <c r="GM20" s="179"/>
      <c r="GN20" s="179"/>
      <c r="GO20" s="179"/>
      <c r="GP20" s="179"/>
      <c r="GQ20" s="179"/>
      <c r="GR20" s="179"/>
      <c r="GS20" s="179"/>
      <c r="GT20" s="179"/>
      <c r="GU20" s="179"/>
      <c r="GV20" s="179"/>
      <c r="GW20" s="179"/>
      <c r="GX20" s="179"/>
      <c r="GY20" s="179"/>
      <c r="GZ20" s="179"/>
      <c r="HA20" s="179"/>
      <c r="HB20" s="179"/>
      <c r="HC20" s="179"/>
      <c r="HD20" s="179"/>
      <c r="HE20" s="179"/>
      <c r="HF20" s="179"/>
      <c r="HG20" s="179"/>
      <c r="HH20" s="179"/>
      <c r="HI20" s="179"/>
      <c r="HJ20" s="179"/>
      <c r="HK20" s="179"/>
      <c r="HL20" s="179"/>
      <c r="HM20" s="179"/>
      <c r="HN20" s="179"/>
      <c r="HO20" s="179"/>
      <c r="HP20" s="179"/>
      <c r="HQ20" s="179"/>
      <c r="HR20" s="179"/>
      <c r="HS20" s="179"/>
      <c r="HT20" s="179"/>
      <c r="HU20" s="179"/>
      <c r="HV20" s="179"/>
      <c r="HW20" s="179"/>
      <c r="HX20" s="179"/>
      <c r="HY20" s="179"/>
      <c r="HZ20" s="179"/>
      <c r="IA20" s="179"/>
      <c r="IB20" s="179"/>
      <c r="IC20" s="179"/>
      <c r="ID20" s="179"/>
      <c r="IE20" s="179"/>
      <c r="IF20" s="179"/>
      <c r="IG20" s="179"/>
      <c r="IH20" s="179"/>
      <c r="II20" s="179"/>
      <c r="IJ20" s="179"/>
      <c r="IK20" s="179"/>
      <c r="IL20" s="179"/>
      <c r="IM20" s="179"/>
      <c r="IN20" s="179"/>
      <c r="IO20" s="179"/>
      <c r="IP20" s="179"/>
      <c r="IQ20" s="179"/>
      <c r="IR20" s="179"/>
      <c r="IS20" s="179"/>
      <c r="IT20" s="179"/>
      <c r="IU20" s="179"/>
      <c r="IV20" s="179"/>
      <c r="IW20" s="179"/>
      <c r="IX20" s="179"/>
      <c r="IY20" s="179"/>
      <c r="IZ20" s="179"/>
      <c r="JA20" s="179"/>
      <c r="JB20" s="179"/>
      <c r="JC20" s="179"/>
      <c r="JD20" s="179"/>
      <c r="JE20" s="179"/>
      <c r="JF20" s="179"/>
      <c r="JG20" s="179"/>
      <c r="JH20" s="179"/>
      <c r="JI20" s="179"/>
      <c r="JJ20" s="179"/>
      <c r="JK20" s="179"/>
      <c r="JL20" s="179"/>
      <c r="JM20" s="179"/>
      <c r="JN20" s="179"/>
      <c r="JO20" s="179"/>
      <c r="JP20" s="179"/>
      <c r="JQ20" s="179"/>
      <c r="JR20" s="179"/>
      <c r="JS20" s="179"/>
      <c r="JT20" s="179"/>
      <c r="JU20" s="179"/>
      <c r="JV20" s="179"/>
      <c r="JW20" s="179"/>
      <c r="JX20" s="179"/>
      <c r="JY20" s="179"/>
      <c r="JZ20" s="179"/>
      <c r="KA20" s="179"/>
      <c r="KB20" s="179"/>
      <c r="KC20" s="179"/>
      <c r="KD20" s="179"/>
      <c r="KE20" s="179"/>
      <c r="KF20" s="179"/>
      <c r="KG20" s="179"/>
      <c r="KH20" s="179"/>
      <c r="KI20" s="179"/>
      <c r="KJ20" s="179"/>
      <c r="KK20" s="179"/>
      <c r="KL20" s="179"/>
      <c r="KM20" s="179"/>
      <c r="KN20" s="179"/>
      <c r="KO20" s="179"/>
      <c r="KP20" s="179"/>
      <c r="KQ20" s="179"/>
      <c r="KR20" s="179"/>
      <c r="KS20" s="179"/>
      <c r="KT20" s="179"/>
      <c r="KU20" s="179"/>
      <c r="KV20" s="179"/>
      <c r="KW20" s="179"/>
      <c r="KX20" s="179"/>
      <c r="KY20" s="179"/>
      <c r="KZ20" s="179"/>
      <c r="LA20" s="179"/>
      <c r="LB20" s="179"/>
      <c r="LC20" s="179"/>
      <c r="LD20" s="179"/>
      <c r="LE20" s="179"/>
      <c r="LF20" s="179"/>
      <c r="LG20" s="179"/>
      <c r="LH20" s="179"/>
      <c r="LI20" s="179"/>
      <c r="LJ20" s="179"/>
      <c r="LK20" s="179"/>
      <c r="LL20" s="179"/>
      <c r="LM20" s="179"/>
      <c r="LN20" s="179"/>
      <c r="LO20" s="179"/>
      <c r="LP20" s="179"/>
      <c r="LQ20" s="179"/>
      <c r="LR20" s="179"/>
      <c r="LS20" s="179"/>
      <c r="LT20" s="179"/>
      <c r="LU20" s="179"/>
      <c r="LV20" s="179"/>
      <c r="LW20" s="179"/>
      <c r="LX20" s="179"/>
      <c r="LY20" s="179"/>
      <c r="LZ20" s="179"/>
      <c r="MA20" s="179"/>
      <c r="MB20" s="179"/>
      <c r="MC20" s="179"/>
      <c r="MD20" s="179"/>
      <c r="ME20" s="179"/>
      <c r="MF20" s="179"/>
      <c r="MG20" s="179"/>
      <c r="MH20" s="179"/>
      <c r="MI20" s="179"/>
      <c r="MJ20" s="179"/>
      <c r="MK20" s="179"/>
      <c r="ML20" s="179"/>
      <c r="MM20" s="179"/>
      <c r="MN20" s="179"/>
      <c r="MO20" s="179"/>
      <c r="MP20" s="179"/>
      <c r="MQ20" s="179"/>
      <c r="MR20" s="179"/>
      <c r="MS20" s="179"/>
      <c r="MT20" s="179"/>
      <c r="MU20" s="179"/>
      <c r="MV20" s="179"/>
      <c r="MW20" s="179"/>
      <c r="MX20" s="179"/>
      <c r="MY20" s="179"/>
      <c r="MZ20" s="179"/>
      <c r="NA20" s="179"/>
      <c r="NB20" s="179"/>
      <c r="NC20" s="179"/>
      <c r="ND20" s="179"/>
      <c r="NE20" s="179"/>
      <c r="NF20" s="179"/>
      <c r="NG20" s="179"/>
      <c r="NH20" s="179"/>
      <c r="NI20" s="179"/>
      <c r="NJ20" s="179"/>
      <c r="NK20" s="179"/>
      <c r="NL20" s="179"/>
      <c r="NM20" s="179"/>
      <c r="NN20" s="179"/>
      <c r="NO20" s="179"/>
      <c r="NP20" s="179"/>
      <c r="NQ20" s="179"/>
      <c r="NR20" s="179"/>
      <c r="NS20" s="179"/>
      <c r="NT20" s="179"/>
      <c r="NU20" s="179"/>
      <c r="NV20" s="179"/>
      <c r="NW20" s="179"/>
      <c r="NX20" s="179"/>
      <c r="NY20" s="179"/>
      <c r="NZ20" s="179"/>
      <c r="OA20" s="179"/>
      <c r="OB20" s="179"/>
      <c r="OC20" s="179"/>
      <c r="OD20" s="179"/>
      <c r="OE20" s="179"/>
      <c r="OF20" s="179"/>
      <c r="OG20" s="179"/>
      <c r="OH20" s="179"/>
      <c r="OI20" s="179"/>
      <c r="OJ20" s="179"/>
      <c r="OK20" s="179"/>
      <c r="OL20" s="179"/>
      <c r="OM20" s="179"/>
      <c r="ON20" s="179"/>
      <c r="OO20" s="179"/>
      <c r="OP20" s="179"/>
      <c r="OQ20" s="179"/>
      <c r="OR20" s="179"/>
      <c r="OS20" s="179"/>
      <c r="OT20" s="179"/>
      <c r="OU20" s="179"/>
      <c r="OV20" s="179"/>
      <c r="OW20" s="179"/>
      <c r="OX20" s="179"/>
      <c r="OY20" s="179"/>
      <c r="OZ20" s="179"/>
      <c r="PA20" s="179"/>
      <c r="PB20" s="179"/>
      <c r="PC20" s="179"/>
      <c r="PD20" s="179"/>
      <c r="PE20" s="179"/>
      <c r="PF20" s="179"/>
      <c r="PG20" s="179"/>
      <c r="PH20" s="179"/>
      <c r="PI20" s="179"/>
      <c r="PJ20" s="179"/>
      <c r="PK20" s="179"/>
      <c r="PL20" s="179"/>
      <c r="PM20" s="179"/>
      <c r="PN20" s="179"/>
      <c r="PO20" s="179"/>
      <c r="PP20" s="179"/>
      <c r="PQ20" s="179"/>
      <c r="PR20" s="179"/>
      <c r="PS20" s="179"/>
      <c r="PT20" s="179"/>
      <c r="PU20" s="179"/>
      <c r="PV20" s="179"/>
      <c r="PW20" s="179"/>
      <c r="PX20" s="179"/>
      <c r="PY20" s="179"/>
      <c r="PZ20" s="179"/>
      <c r="QA20" s="179"/>
      <c r="QB20" s="179"/>
      <c r="QC20" s="179"/>
      <c r="QD20" s="179"/>
      <c r="QE20" s="179"/>
      <c r="QF20" s="179"/>
      <c r="QG20" s="179"/>
      <c r="QH20" s="179"/>
      <c r="QI20" s="179"/>
      <c r="QJ20" s="179"/>
      <c r="QK20" s="179"/>
      <c r="QL20" s="179"/>
      <c r="QM20" s="179"/>
      <c r="QN20" s="179"/>
      <c r="QO20" s="179"/>
      <c r="QP20" s="179"/>
      <c r="QQ20" s="179"/>
      <c r="QR20" s="179"/>
      <c r="QS20" s="179"/>
      <c r="QT20" s="179"/>
      <c r="QU20" s="179"/>
      <c r="QV20" s="179"/>
      <c r="QW20" s="179"/>
      <c r="QX20" s="179"/>
      <c r="QY20" s="179"/>
      <c r="QZ20" s="179"/>
      <c r="RA20" s="179"/>
      <c r="RB20" s="179"/>
      <c r="RC20" s="179"/>
      <c r="RD20" s="179"/>
      <c r="RE20" s="179"/>
      <c r="RF20" s="179"/>
      <c r="RG20" s="179"/>
      <c r="RH20" s="179"/>
      <c r="RI20" s="179"/>
      <c r="RJ20" s="179"/>
      <c r="RK20" s="179"/>
      <c r="RL20" s="179"/>
      <c r="ICU20" s="150" t="s">
        <v>171</v>
      </c>
      <c r="ICV20" s="186"/>
      <c r="ICW20" s="179"/>
      <c r="ICX20" s="179"/>
      <c r="ICY20" s="179"/>
      <c r="ICZ20" s="179"/>
      <c r="IDA20" s="179"/>
      <c r="IDB20" s="179"/>
      <c r="IDC20" s="179"/>
      <c r="IDD20" s="179"/>
      <c r="IDE20" s="179"/>
      <c r="IDF20" s="179"/>
      <c r="IDG20" s="179"/>
      <c r="IDH20" s="179"/>
      <c r="IDI20" s="179"/>
      <c r="IDJ20" s="179"/>
      <c r="IDK20" s="179"/>
      <c r="IDL20" s="179"/>
      <c r="IDM20" s="179"/>
      <c r="IDN20" s="179"/>
      <c r="IDO20" s="179"/>
      <c r="IDP20" s="179"/>
      <c r="IDQ20" s="179"/>
      <c r="IDR20" s="179"/>
      <c r="IDS20" s="179"/>
      <c r="IDT20" s="179"/>
      <c r="IDU20" s="179"/>
      <c r="IDV20" s="179"/>
      <c r="IDW20" s="179"/>
      <c r="IDX20" s="179"/>
      <c r="IDY20" s="179"/>
      <c r="IDZ20" s="179"/>
      <c r="IEA20" s="179"/>
      <c r="IEB20" s="179"/>
      <c r="IEC20" s="179"/>
      <c r="IED20" s="179"/>
      <c r="IEE20" s="179"/>
      <c r="IEF20" s="179"/>
      <c r="IEG20" s="179"/>
      <c r="IEH20" s="179"/>
      <c r="IEI20" s="179"/>
      <c r="IEJ20" s="179"/>
      <c r="IEK20" s="179"/>
      <c r="IEL20" s="179"/>
      <c r="IEM20" s="179"/>
      <c r="IEN20" s="179"/>
      <c r="IEO20" s="179"/>
      <c r="IEP20" s="179"/>
      <c r="IEQ20" s="179"/>
      <c r="IER20" s="179"/>
      <c r="IES20" s="179"/>
      <c r="IET20" s="179"/>
      <c r="IEU20" s="179"/>
      <c r="IEV20" s="179"/>
      <c r="IEW20" s="179"/>
      <c r="IEX20" s="179"/>
      <c r="IEY20" s="179"/>
      <c r="IEZ20" s="179"/>
      <c r="IFA20" s="179"/>
      <c r="IFB20" s="179"/>
      <c r="IFC20" s="179"/>
      <c r="IFD20" s="179"/>
      <c r="IFE20" s="179"/>
      <c r="IFF20" s="179"/>
      <c r="IFG20" s="179"/>
      <c r="IFH20" s="179"/>
      <c r="IFI20" s="179"/>
      <c r="IFJ20" s="179"/>
      <c r="IFK20" s="179"/>
      <c r="IFL20" s="179"/>
      <c r="IFM20" s="179"/>
      <c r="IFN20" s="179"/>
      <c r="IFO20" s="179"/>
      <c r="IFP20" s="179"/>
      <c r="IFQ20" s="179"/>
      <c r="IFR20" s="179"/>
      <c r="IFS20" s="179"/>
      <c r="IFT20" s="179"/>
      <c r="IFU20" s="179"/>
      <c r="IFV20" s="179"/>
      <c r="IFW20" s="179"/>
      <c r="IFX20" s="179"/>
      <c r="IFY20" s="179"/>
      <c r="IFZ20" s="179"/>
      <c r="IGA20" s="179"/>
      <c r="IGB20" s="179"/>
      <c r="IGC20" s="179"/>
      <c r="IGD20" s="179"/>
      <c r="IGE20" s="179"/>
      <c r="IGF20" s="179"/>
      <c r="IGG20" s="179"/>
      <c r="IGH20" s="179"/>
      <c r="IGI20" s="179"/>
      <c r="IGJ20" s="179"/>
      <c r="IGK20" s="179"/>
      <c r="IGL20" s="179"/>
      <c r="IGM20" s="179"/>
      <c r="IGN20" s="179"/>
      <c r="IGO20" s="179"/>
      <c r="IGP20" s="179"/>
      <c r="IGQ20" s="179"/>
      <c r="IGR20" s="179"/>
      <c r="IGS20" s="179"/>
      <c r="IGT20" s="179"/>
      <c r="IGU20" s="179"/>
      <c r="IGV20" s="179"/>
      <c r="IGW20" s="179"/>
      <c r="IGX20" s="179"/>
      <c r="IGY20" s="179"/>
      <c r="IGZ20" s="179"/>
      <c r="IHA20" s="179"/>
      <c r="IHB20" s="179"/>
      <c r="IHC20" s="179"/>
      <c r="IHD20" s="179"/>
      <c r="IHE20" s="179"/>
      <c r="IHF20" s="179"/>
      <c r="IHG20" s="179"/>
      <c r="IHH20" s="179"/>
      <c r="IHI20" s="179"/>
      <c r="IHJ20" s="179"/>
      <c r="IHK20" s="179"/>
      <c r="IHL20" s="179"/>
      <c r="IHM20" s="179"/>
      <c r="IHN20" s="179"/>
      <c r="IHO20" s="179"/>
      <c r="IHP20" s="179"/>
      <c r="IHQ20" s="179"/>
      <c r="IHR20" s="179"/>
      <c r="IHS20" s="179"/>
      <c r="IHT20" s="179"/>
      <c r="IHU20" s="179"/>
      <c r="IHV20" s="179"/>
      <c r="IHW20" s="179"/>
      <c r="IHX20" s="179"/>
      <c r="IHY20" s="179"/>
      <c r="IHZ20" s="179"/>
      <c r="IIA20" s="179"/>
      <c r="IIB20" s="179"/>
      <c r="IIC20" s="179"/>
      <c r="IID20" s="179"/>
      <c r="IIE20" s="179"/>
      <c r="IIF20" s="179"/>
      <c r="IIG20" s="179"/>
      <c r="IIH20" s="179"/>
      <c r="III20" s="179"/>
      <c r="IIJ20" s="179"/>
      <c r="IIK20" s="179"/>
      <c r="IIL20" s="179"/>
      <c r="IIM20" s="179"/>
      <c r="IIN20" s="179"/>
      <c r="IIO20" s="179"/>
      <c r="IIP20" s="179"/>
      <c r="IIQ20" s="179"/>
      <c r="IIR20" s="179"/>
      <c r="IIS20" s="179"/>
      <c r="IIT20" s="179"/>
      <c r="IIU20" s="179"/>
      <c r="IIV20" s="179"/>
      <c r="IIW20" s="179"/>
      <c r="IIX20" s="179"/>
      <c r="IIY20" s="179"/>
      <c r="IIZ20" s="179"/>
      <c r="IJA20" s="179"/>
      <c r="IJB20" s="179"/>
      <c r="IJC20" s="179"/>
      <c r="IJD20" s="179"/>
      <c r="IJE20" s="179"/>
      <c r="IJF20" s="179"/>
      <c r="IJG20" s="179"/>
      <c r="IJH20" s="179"/>
      <c r="IJI20" s="179"/>
      <c r="IJJ20" s="179"/>
      <c r="IJK20" s="179"/>
      <c r="IJL20" s="179"/>
      <c r="IJM20" s="179"/>
      <c r="IJN20" s="179"/>
      <c r="IJO20" s="179"/>
      <c r="IJP20" s="179"/>
      <c r="IJQ20" s="179"/>
      <c r="IJR20" s="179"/>
      <c r="IJS20" s="179"/>
      <c r="IJT20" s="179"/>
      <c r="IJU20" s="179"/>
      <c r="IJV20" s="179"/>
      <c r="IJW20" s="179"/>
      <c r="IJX20" s="179"/>
      <c r="IJY20" s="179"/>
      <c r="IJZ20" s="179"/>
      <c r="IKA20" s="179"/>
      <c r="IKB20" s="179"/>
      <c r="IKC20" s="179"/>
      <c r="IKD20" s="179"/>
      <c r="IKE20" s="179"/>
      <c r="IKF20" s="179"/>
      <c r="IKG20" s="179"/>
      <c r="IKH20" s="179"/>
      <c r="IKI20" s="179"/>
      <c r="IKJ20" s="179"/>
      <c r="IKK20" s="179"/>
      <c r="IKL20" s="179"/>
      <c r="IKM20" s="179"/>
      <c r="IKN20" s="179"/>
      <c r="IKO20" s="179"/>
      <c r="IKP20" s="179"/>
      <c r="IKQ20" s="179"/>
      <c r="IKR20" s="179"/>
      <c r="IKS20" s="179"/>
      <c r="IKT20" s="179"/>
      <c r="IKU20" s="179"/>
      <c r="IKV20" s="179"/>
      <c r="IKW20" s="179"/>
      <c r="IKX20" s="179"/>
      <c r="IKY20" s="179"/>
      <c r="IKZ20" s="179"/>
      <c r="ILA20" s="179"/>
      <c r="ILB20" s="179"/>
      <c r="ILC20" s="179"/>
      <c r="ILD20" s="179"/>
      <c r="ILE20" s="179"/>
      <c r="ILF20" s="179"/>
      <c r="ILG20" s="179"/>
      <c r="ILH20" s="179"/>
      <c r="ILI20" s="179"/>
      <c r="ILJ20" s="179"/>
      <c r="ILK20" s="179"/>
      <c r="ILL20" s="179"/>
      <c r="ILM20" s="179"/>
      <c r="ILN20" s="179"/>
      <c r="ILO20" s="179"/>
      <c r="ILP20" s="179"/>
      <c r="ILQ20" s="179"/>
      <c r="ILR20" s="179"/>
      <c r="ILS20" s="179"/>
      <c r="ILT20" s="179"/>
      <c r="ILU20" s="179"/>
      <c r="ILV20" s="179"/>
      <c r="ILW20" s="179"/>
      <c r="ILX20" s="179"/>
      <c r="ILY20" s="179"/>
      <c r="ILZ20" s="179"/>
      <c r="IMA20" s="179"/>
      <c r="IMB20" s="179"/>
      <c r="IMC20" s="179"/>
      <c r="IMD20" s="179"/>
      <c r="IME20" s="179"/>
      <c r="IMF20" s="179"/>
      <c r="IMG20" s="179"/>
      <c r="IMH20" s="179"/>
      <c r="IMI20" s="179"/>
      <c r="IMJ20" s="179"/>
      <c r="IMK20" s="179"/>
      <c r="IML20" s="179"/>
      <c r="IMM20" s="179"/>
      <c r="IMN20" s="179"/>
      <c r="IMO20" s="179"/>
      <c r="IMP20" s="179"/>
      <c r="IMQ20" s="179"/>
      <c r="IMR20" s="179"/>
      <c r="IMS20" s="179"/>
      <c r="IMT20" s="179"/>
      <c r="IMU20" s="179"/>
      <c r="IMV20" s="179"/>
      <c r="IMW20" s="179"/>
      <c r="IMX20" s="179"/>
      <c r="IMY20" s="179"/>
      <c r="IMZ20" s="179"/>
      <c r="INA20" s="179"/>
      <c r="INB20" s="179"/>
      <c r="INC20" s="179"/>
      <c r="IND20" s="179"/>
      <c r="INE20" s="179"/>
      <c r="INF20" s="179"/>
      <c r="ING20" s="179"/>
      <c r="INH20" s="179"/>
      <c r="INI20" s="179"/>
      <c r="INJ20" s="179"/>
      <c r="INK20" s="179"/>
      <c r="INL20" s="179"/>
      <c r="INM20" s="179"/>
      <c r="INN20" s="179"/>
      <c r="INO20" s="179"/>
      <c r="INP20" s="179"/>
      <c r="INQ20" s="179"/>
      <c r="INR20" s="179"/>
      <c r="INS20" s="179"/>
      <c r="INT20" s="179"/>
      <c r="INU20" s="179"/>
      <c r="INV20" s="179"/>
      <c r="INW20" s="179"/>
      <c r="INX20" s="179"/>
      <c r="INY20" s="179"/>
      <c r="INZ20" s="179"/>
      <c r="IOA20" s="179"/>
      <c r="IOB20" s="179"/>
      <c r="IOC20" s="179"/>
      <c r="IOD20" s="179"/>
      <c r="IOE20" s="179"/>
      <c r="IOF20" s="179"/>
      <c r="IOG20" s="179"/>
      <c r="IOH20" s="179"/>
      <c r="IOI20" s="179"/>
      <c r="IOJ20" s="179"/>
      <c r="IOK20" s="179"/>
      <c r="IOL20" s="179"/>
      <c r="IOM20" s="179"/>
      <c r="ION20" s="179"/>
      <c r="IOO20" s="179"/>
      <c r="IOP20" s="179"/>
      <c r="IOQ20" s="179"/>
      <c r="IOR20" s="179"/>
      <c r="IOS20" s="179"/>
      <c r="IOT20" s="179"/>
      <c r="IOU20" s="179"/>
      <c r="IOV20" s="179"/>
      <c r="IOW20" s="179"/>
      <c r="IOX20" s="179"/>
      <c r="IOY20" s="179"/>
      <c r="IOZ20" s="179"/>
      <c r="IPA20" s="179"/>
      <c r="IPB20" s="179"/>
      <c r="IPC20" s="179"/>
      <c r="IPD20" s="179"/>
      <c r="IPE20" s="179"/>
      <c r="IPF20" s="179"/>
      <c r="IPG20" s="179"/>
      <c r="IPH20" s="179"/>
      <c r="IPI20" s="179"/>
      <c r="IPJ20" s="179"/>
      <c r="IPK20" s="179"/>
      <c r="IPL20" s="179"/>
      <c r="IPM20" s="179"/>
      <c r="IPN20" s="179"/>
      <c r="IPO20" s="179"/>
      <c r="IPP20" s="179"/>
      <c r="IPQ20" s="179"/>
      <c r="IPR20" s="179"/>
      <c r="IPS20" s="179"/>
      <c r="IPT20" s="179"/>
      <c r="IPU20" s="179"/>
      <c r="IPV20" s="179"/>
      <c r="IPW20" s="179"/>
      <c r="IPX20" s="179"/>
      <c r="IPY20" s="179"/>
      <c r="IPZ20" s="179"/>
      <c r="IQA20" s="179"/>
      <c r="IQB20" s="179"/>
      <c r="IQC20" s="179"/>
      <c r="IQD20" s="179"/>
      <c r="IQE20" s="179"/>
      <c r="IQF20" s="179"/>
      <c r="IQG20" s="179"/>
      <c r="IQH20" s="179"/>
      <c r="IQI20" s="179"/>
      <c r="IQJ20" s="179"/>
      <c r="IQK20" s="179"/>
      <c r="IQL20" s="179"/>
      <c r="IQM20" s="179"/>
      <c r="IQN20" s="179"/>
      <c r="IQO20" s="179"/>
      <c r="IQP20" s="179"/>
      <c r="IQQ20" s="179"/>
      <c r="IQR20" s="179"/>
      <c r="IQS20" s="179"/>
      <c r="IQT20" s="179"/>
      <c r="IQU20" s="179"/>
      <c r="IQV20" s="179"/>
      <c r="IQW20" s="179"/>
      <c r="IQX20" s="179"/>
      <c r="IQY20" s="179"/>
      <c r="IQZ20" s="179"/>
      <c r="IRA20" s="179"/>
      <c r="IRB20" s="179"/>
      <c r="IRC20" s="179"/>
      <c r="IRD20" s="179"/>
      <c r="IRE20" s="179"/>
      <c r="IRF20" s="179"/>
      <c r="IRG20" s="179"/>
      <c r="IRH20" s="179"/>
      <c r="IRI20" s="179"/>
      <c r="IRJ20" s="179"/>
      <c r="IRK20" s="179"/>
      <c r="IRL20" s="179"/>
      <c r="IRM20" s="179"/>
      <c r="IRN20" s="179"/>
      <c r="IRO20" s="179"/>
      <c r="IRP20" s="179"/>
      <c r="IRQ20" s="179"/>
      <c r="IRR20" s="179"/>
      <c r="IRS20" s="179"/>
      <c r="IRT20" s="179"/>
      <c r="IRU20" s="179"/>
      <c r="IRV20" s="179"/>
      <c r="IRW20" s="179"/>
      <c r="IRX20" s="179"/>
      <c r="IRY20" s="179"/>
      <c r="IRZ20" s="179"/>
      <c r="ISA20" s="179"/>
      <c r="ISB20" s="179"/>
      <c r="ISC20" s="179"/>
      <c r="ISD20" s="179"/>
      <c r="ISE20" s="179"/>
      <c r="ISF20" s="179"/>
      <c r="ISG20" s="179"/>
      <c r="ISH20" s="179"/>
      <c r="ISI20" s="179"/>
      <c r="ISJ20" s="179"/>
      <c r="ISK20" s="179"/>
      <c r="ISL20" s="179"/>
      <c r="ISM20" s="179"/>
      <c r="ISN20" s="179"/>
      <c r="ISO20" s="179"/>
      <c r="ISP20" s="179"/>
      <c r="ISQ20" s="179"/>
      <c r="ISR20" s="179"/>
      <c r="ISS20" s="179"/>
      <c r="IST20" s="179"/>
      <c r="ISU20" s="179"/>
      <c r="ISV20" s="179"/>
      <c r="ISW20" s="179"/>
      <c r="ISX20" s="179"/>
      <c r="ISY20" s="179"/>
      <c r="ISZ20" s="179"/>
      <c r="ITA20" s="179"/>
      <c r="ITB20" s="179"/>
      <c r="ITC20" s="179"/>
      <c r="ITD20" s="179"/>
      <c r="ITE20" s="179"/>
      <c r="ITF20" s="179"/>
      <c r="ITG20" s="179"/>
      <c r="ITH20" s="179"/>
      <c r="ITI20" s="179"/>
      <c r="ITJ20" s="179"/>
      <c r="ITK20" s="179"/>
      <c r="ITL20" s="179"/>
      <c r="ITM20" s="179"/>
      <c r="ITN20" s="179"/>
      <c r="ITO20" s="179"/>
      <c r="ITP20" s="179"/>
      <c r="ITQ20" s="179"/>
      <c r="ITR20" s="179"/>
      <c r="ITS20" s="179"/>
      <c r="ITT20" s="179"/>
      <c r="ITU20" s="179"/>
      <c r="ITV20" s="179"/>
      <c r="ITW20" s="179"/>
      <c r="ITX20" s="179"/>
      <c r="ITY20" s="179"/>
      <c r="ITZ20" s="179"/>
      <c r="IUA20" s="179"/>
      <c r="IUB20" s="179"/>
      <c r="IUC20" s="179"/>
      <c r="IUD20" s="179"/>
      <c r="IUE20" s="179"/>
      <c r="IUF20" s="179"/>
      <c r="IUG20" s="179"/>
      <c r="IUH20" s="179"/>
      <c r="IUI20" s="179"/>
      <c r="IUJ20" s="179"/>
      <c r="IUK20" s="179"/>
      <c r="IUL20" s="179"/>
      <c r="IUM20" s="179"/>
      <c r="IUN20" s="179"/>
      <c r="IUO20" s="179"/>
      <c r="IUP20" s="179"/>
      <c r="IUQ20" s="179"/>
      <c r="IUR20" s="179"/>
      <c r="IUS20" s="179"/>
      <c r="IUT20" s="179"/>
    </row>
    <row r="21" spans="1:16381" s="125" customFormat="1" ht="14.25" thickBot="1">
      <c r="C21" s="143"/>
      <c r="D21" s="171" t="s">
        <v>172</v>
      </c>
      <c r="E21" s="70" t="s">
        <v>145</v>
      </c>
      <c r="F21" s="58" t="s">
        <v>146</v>
      </c>
      <c r="G21" s="58" t="s">
        <v>147</v>
      </c>
      <c r="H21" s="59">
        <f>SUM(H22:H23)-COUNTIF(I22:I23,"False")*5</f>
        <v>6</v>
      </c>
      <c r="I21" s="59">
        <f>SUM(I22:I23)</f>
        <v>0</v>
      </c>
      <c r="J21" s="60">
        <f>IF(I21=0,(0),SUM(J22:J23))</f>
        <v>0</v>
      </c>
      <c r="K21" s="161"/>
      <c r="L21" s="187"/>
      <c r="M21" s="145">
        <f>SUM(M22:M23)-COUNTIF(N22:N23,"False")*5</f>
        <v>6</v>
      </c>
      <c r="N21" s="188"/>
      <c r="O21" s="189"/>
      <c r="P21" s="188"/>
      <c r="Q21" s="190"/>
      <c r="R21" s="191"/>
      <c r="S21" s="192"/>
      <c r="T21" s="187"/>
      <c r="U21" s="187"/>
      <c r="V21" s="187"/>
      <c r="W21" s="188"/>
      <c r="X21" s="188"/>
      <c r="Y21" s="189"/>
      <c r="Z21" s="188"/>
      <c r="AA21" s="190"/>
      <c r="AB21" s="191"/>
      <c r="AC21" s="192"/>
      <c r="AD21" s="187"/>
      <c r="AE21" s="187"/>
      <c r="AF21" s="187"/>
      <c r="AG21" s="188"/>
      <c r="AH21" s="188"/>
      <c r="AI21" s="189"/>
      <c r="AJ21" s="188"/>
      <c r="AK21" s="190"/>
      <c r="AL21" s="191"/>
      <c r="AM21" s="192"/>
      <c r="AN21" s="187"/>
      <c r="AO21" s="187"/>
      <c r="AP21" s="187"/>
      <c r="AQ21" s="188"/>
      <c r="AR21" s="188"/>
      <c r="AS21" s="189"/>
      <c r="AT21" s="188"/>
      <c r="AU21" s="190"/>
      <c r="AV21" s="191"/>
      <c r="AW21" s="192"/>
      <c r="AX21" s="187"/>
      <c r="AY21" s="187"/>
      <c r="AZ21" s="187"/>
      <c r="BA21" s="188"/>
      <c r="BB21" s="188"/>
      <c r="BC21" s="189"/>
      <c r="BD21" s="188"/>
      <c r="BE21" s="190"/>
      <c r="BF21" s="191"/>
      <c r="BG21" s="192"/>
      <c r="BH21" s="187"/>
      <c r="BI21" s="187"/>
      <c r="BJ21" s="187"/>
      <c r="BK21" s="188"/>
      <c r="BL21" s="188"/>
      <c r="BM21" s="189"/>
      <c r="BN21" s="188"/>
      <c r="BO21" s="190"/>
      <c r="BP21" s="191"/>
      <c r="BQ21" s="192"/>
      <c r="BR21" s="187"/>
      <c r="BS21" s="187"/>
      <c r="BT21" s="187"/>
      <c r="BU21" s="188"/>
      <c r="BV21" s="188"/>
      <c r="BW21" s="189"/>
      <c r="BX21" s="188"/>
      <c r="BY21" s="190"/>
      <c r="BZ21" s="191"/>
      <c r="CA21" s="192"/>
      <c r="CB21" s="187"/>
      <c r="CC21" s="187"/>
      <c r="CD21" s="187"/>
      <c r="CE21" s="188"/>
      <c r="CF21" s="188"/>
      <c r="CG21" s="189"/>
      <c r="CH21" s="188"/>
      <c r="CI21" s="190"/>
      <c r="CJ21" s="191"/>
      <c r="CK21" s="192"/>
      <c r="CL21" s="187"/>
      <c r="CM21" s="187"/>
      <c r="CN21" s="187"/>
      <c r="CO21" s="188"/>
      <c r="CP21" s="188"/>
      <c r="CQ21" s="189"/>
      <c r="CR21" s="188"/>
      <c r="CS21" s="190"/>
      <c r="CT21" s="191"/>
      <c r="CU21" s="192"/>
      <c r="CV21" s="187"/>
      <c r="CW21" s="187"/>
      <c r="CX21" s="187"/>
      <c r="CY21" s="188"/>
      <c r="CZ21" s="188"/>
      <c r="DA21" s="189"/>
      <c r="DB21" s="188"/>
      <c r="DC21" s="190"/>
      <c r="DD21" s="191"/>
      <c r="DE21" s="192"/>
      <c r="DF21" s="187"/>
      <c r="DG21" s="187"/>
      <c r="DH21" s="187"/>
      <c r="DI21" s="188"/>
      <c r="DJ21" s="188"/>
      <c r="DK21" s="189"/>
      <c r="DL21" s="188"/>
      <c r="DM21" s="190"/>
      <c r="DN21" s="191"/>
      <c r="DO21" s="192"/>
      <c r="DP21" s="187"/>
      <c r="DQ21" s="187"/>
      <c r="DR21" s="187"/>
      <c r="DS21" s="188"/>
      <c r="DT21" s="188"/>
      <c r="DU21" s="189"/>
      <c r="DV21" s="188"/>
      <c r="DW21" s="190"/>
      <c r="DX21" s="191"/>
      <c r="DY21" s="192"/>
      <c r="DZ21" s="187"/>
      <c r="EA21" s="187"/>
      <c r="EB21" s="187"/>
      <c r="EC21" s="188"/>
      <c r="ED21" s="188"/>
      <c r="EE21" s="189"/>
      <c r="EF21" s="188"/>
      <c r="EG21" s="190"/>
      <c r="EH21" s="191"/>
      <c r="EI21" s="192"/>
      <c r="EJ21" s="187"/>
      <c r="EK21" s="187"/>
      <c r="EL21" s="187"/>
      <c r="EM21" s="188"/>
      <c r="EN21" s="188"/>
      <c r="EO21" s="189"/>
      <c r="EP21" s="188"/>
      <c r="EQ21" s="190"/>
      <c r="ER21" s="191"/>
      <c r="ES21" s="192"/>
      <c r="ET21" s="187"/>
      <c r="EU21" s="187"/>
      <c r="EV21" s="187"/>
      <c r="EW21" s="188"/>
      <c r="EX21" s="188"/>
      <c r="EY21" s="189"/>
      <c r="EZ21" s="188"/>
      <c r="FA21" s="190"/>
      <c r="FB21" s="191"/>
      <c r="FC21" s="192"/>
      <c r="FD21" s="187"/>
      <c r="FE21" s="187"/>
      <c r="FF21" s="187"/>
      <c r="FG21" s="188"/>
      <c r="FH21" s="188"/>
      <c r="FI21" s="189"/>
      <c r="FJ21" s="188"/>
      <c r="FK21" s="190"/>
      <c r="FL21" s="191"/>
      <c r="FM21" s="192"/>
      <c r="FN21" s="187"/>
      <c r="FO21" s="187"/>
      <c r="FP21" s="187"/>
      <c r="FQ21" s="188"/>
      <c r="FR21" s="188"/>
      <c r="FS21" s="189"/>
      <c r="FT21" s="188"/>
      <c r="FU21" s="190"/>
      <c r="FV21" s="191"/>
      <c r="FW21" s="192"/>
      <c r="FX21" s="187"/>
      <c r="FY21" s="187"/>
      <c r="FZ21" s="187"/>
      <c r="GA21" s="188"/>
      <c r="GB21" s="188"/>
      <c r="GC21" s="189"/>
      <c r="GD21" s="188"/>
      <c r="GE21" s="190"/>
      <c r="GF21" s="191"/>
      <c r="GG21" s="192"/>
      <c r="GH21" s="187"/>
      <c r="GI21" s="187"/>
      <c r="GJ21" s="187"/>
      <c r="GK21" s="188"/>
      <c r="GL21" s="188"/>
      <c r="GM21" s="189"/>
      <c r="GN21" s="188"/>
      <c r="GO21" s="190"/>
      <c r="GP21" s="191"/>
      <c r="GQ21" s="192"/>
      <c r="GR21" s="187"/>
      <c r="GS21" s="187"/>
      <c r="GT21" s="187"/>
      <c r="GU21" s="188"/>
      <c r="GV21" s="188"/>
      <c r="GW21" s="189"/>
      <c r="GX21" s="188"/>
      <c r="GY21" s="190"/>
      <c r="GZ21" s="191"/>
      <c r="HA21" s="192"/>
      <c r="HB21" s="187"/>
      <c r="HC21" s="187"/>
      <c r="HD21" s="187"/>
      <c r="HE21" s="188"/>
      <c r="HF21" s="188"/>
      <c r="HG21" s="189"/>
      <c r="HH21" s="188"/>
      <c r="HI21" s="190"/>
      <c r="HJ21" s="191"/>
      <c r="HK21" s="192"/>
      <c r="HL21" s="187"/>
      <c r="HM21" s="187"/>
      <c r="HN21" s="187"/>
      <c r="HO21" s="188"/>
      <c r="HP21" s="188"/>
      <c r="HQ21" s="189"/>
      <c r="HR21" s="188"/>
      <c r="HS21" s="190"/>
      <c r="HT21" s="191"/>
      <c r="HU21" s="192"/>
      <c r="HV21" s="187"/>
      <c r="HW21" s="187"/>
      <c r="HX21" s="187"/>
      <c r="HY21" s="188"/>
      <c r="HZ21" s="188"/>
      <c r="IA21" s="189"/>
      <c r="IB21" s="188"/>
      <c r="IC21" s="190"/>
      <c r="ID21" s="191"/>
      <c r="IE21" s="192"/>
      <c r="IF21" s="187"/>
      <c r="IG21" s="187"/>
      <c r="IH21" s="187"/>
      <c r="II21" s="188"/>
      <c r="IJ21" s="188"/>
      <c r="IK21" s="189"/>
      <c r="IL21" s="188"/>
      <c r="IM21" s="190"/>
      <c r="IN21" s="191"/>
      <c r="IO21" s="192"/>
      <c r="IP21" s="187"/>
      <c r="IQ21" s="187"/>
      <c r="IR21" s="187"/>
      <c r="IS21" s="188"/>
      <c r="IT21" s="188"/>
      <c r="IU21" s="189"/>
      <c r="IV21" s="188"/>
      <c r="IW21" s="190"/>
      <c r="IX21" s="191"/>
      <c r="IY21" s="192"/>
      <c r="IZ21" s="187"/>
      <c r="JA21" s="187"/>
      <c r="JB21" s="187"/>
      <c r="JC21" s="188"/>
      <c r="JD21" s="188"/>
      <c r="JE21" s="189"/>
      <c r="JF21" s="188"/>
      <c r="JG21" s="190"/>
      <c r="JH21" s="191"/>
      <c r="JI21" s="192"/>
      <c r="JJ21" s="187"/>
      <c r="JK21" s="187"/>
      <c r="JL21" s="187"/>
      <c r="JM21" s="188"/>
      <c r="JN21" s="188"/>
      <c r="JO21" s="189"/>
      <c r="JP21" s="188"/>
      <c r="JQ21" s="190"/>
      <c r="JR21" s="191"/>
      <c r="JS21" s="192"/>
      <c r="JT21" s="187"/>
      <c r="JU21" s="187"/>
      <c r="JV21" s="187"/>
      <c r="JW21" s="188"/>
      <c r="JX21" s="188"/>
      <c r="JY21" s="189"/>
      <c r="JZ21" s="188"/>
      <c r="KA21" s="190"/>
      <c r="KB21" s="191"/>
      <c r="KC21" s="192"/>
      <c r="KD21" s="187"/>
      <c r="KE21" s="187"/>
      <c r="KF21" s="187"/>
      <c r="KG21" s="188"/>
      <c r="KH21" s="188"/>
      <c r="KI21" s="189"/>
      <c r="KJ21" s="188"/>
      <c r="KK21" s="190"/>
      <c r="KL21" s="191"/>
      <c r="KM21" s="192"/>
      <c r="KN21" s="187"/>
      <c r="KO21" s="187"/>
      <c r="KP21" s="187"/>
      <c r="KQ21" s="188"/>
      <c r="KR21" s="188"/>
      <c r="KS21" s="189"/>
      <c r="KT21" s="188"/>
      <c r="KU21" s="190"/>
      <c r="KV21" s="191"/>
      <c r="KW21" s="192"/>
      <c r="KX21" s="187"/>
      <c r="KY21" s="187"/>
      <c r="KZ21" s="187"/>
      <c r="LA21" s="188"/>
      <c r="LB21" s="188"/>
      <c r="LC21" s="189"/>
      <c r="LD21" s="188"/>
      <c r="LE21" s="190"/>
      <c r="LF21" s="191"/>
      <c r="LG21" s="192"/>
      <c r="LH21" s="187"/>
      <c r="LI21" s="187"/>
      <c r="LJ21" s="187"/>
      <c r="LK21" s="188"/>
      <c r="LL21" s="188"/>
      <c r="LM21" s="189"/>
      <c r="LN21" s="188"/>
      <c r="LO21" s="190"/>
      <c r="LP21" s="191"/>
      <c r="LQ21" s="192"/>
      <c r="LR21" s="187"/>
      <c r="LS21" s="187"/>
      <c r="LT21" s="187"/>
      <c r="LU21" s="188"/>
      <c r="LV21" s="188"/>
      <c r="LW21" s="189"/>
      <c r="LX21" s="188"/>
      <c r="LY21" s="190"/>
      <c r="LZ21" s="191"/>
      <c r="MA21" s="192"/>
      <c r="MB21" s="187"/>
      <c r="MC21" s="187"/>
      <c r="MD21" s="187"/>
      <c r="ME21" s="188"/>
      <c r="MF21" s="188"/>
      <c r="MG21" s="189"/>
      <c r="MH21" s="188"/>
      <c r="MI21" s="190"/>
      <c r="MJ21" s="191"/>
      <c r="MK21" s="192"/>
      <c r="ML21" s="187"/>
      <c r="MM21" s="187"/>
      <c r="MN21" s="187"/>
      <c r="MO21" s="188"/>
      <c r="MP21" s="188"/>
      <c r="MQ21" s="189"/>
      <c r="MR21" s="188"/>
      <c r="MS21" s="190"/>
      <c r="MT21" s="191"/>
      <c r="MU21" s="192"/>
      <c r="MV21" s="187"/>
      <c r="MW21" s="187"/>
      <c r="MX21" s="187"/>
      <c r="MY21" s="188"/>
      <c r="MZ21" s="188"/>
      <c r="NA21" s="189"/>
      <c r="NB21" s="188"/>
      <c r="NC21" s="190"/>
      <c r="ND21" s="191"/>
      <c r="NE21" s="192"/>
      <c r="NF21" s="187"/>
      <c r="NG21" s="187"/>
      <c r="NH21" s="187"/>
      <c r="NI21" s="188"/>
      <c r="NJ21" s="188"/>
      <c r="NK21" s="189"/>
      <c r="NL21" s="188"/>
      <c r="NM21" s="190"/>
      <c r="NN21" s="191"/>
      <c r="NO21" s="192"/>
      <c r="NP21" s="187"/>
      <c r="NQ21" s="187"/>
      <c r="NR21" s="187"/>
      <c r="NS21" s="188"/>
      <c r="NT21" s="188"/>
      <c r="NU21" s="189"/>
      <c r="NV21" s="188"/>
      <c r="NW21" s="190"/>
      <c r="NX21" s="191"/>
      <c r="NY21" s="192"/>
      <c r="NZ21" s="187"/>
      <c r="OA21" s="187"/>
      <c r="OB21" s="187"/>
      <c r="OC21" s="188"/>
      <c r="OD21" s="188"/>
      <c r="OE21" s="189"/>
      <c r="OF21" s="188"/>
      <c r="OG21" s="190"/>
      <c r="OH21" s="191"/>
      <c r="OI21" s="192"/>
      <c r="OJ21" s="187"/>
      <c r="OK21" s="187"/>
      <c r="OL21" s="187"/>
      <c r="OM21" s="188"/>
      <c r="ON21" s="188"/>
      <c r="OO21" s="189"/>
      <c r="OP21" s="188"/>
      <c r="OQ21" s="190"/>
      <c r="OR21" s="191"/>
      <c r="OS21" s="192"/>
      <c r="OT21" s="187"/>
      <c r="OU21" s="187"/>
      <c r="OV21" s="187"/>
      <c r="OW21" s="188"/>
      <c r="OX21" s="188"/>
      <c r="OY21" s="189"/>
      <c r="OZ21" s="188"/>
      <c r="PA21" s="190"/>
      <c r="PB21" s="191"/>
      <c r="PC21" s="192"/>
      <c r="PD21" s="187"/>
      <c r="PE21" s="187"/>
      <c r="PF21" s="187"/>
      <c r="PG21" s="188"/>
      <c r="PH21" s="188"/>
      <c r="PI21" s="189"/>
      <c r="PJ21" s="188"/>
      <c r="PK21" s="190"/>
      <c r="PL21" s="191"/>
      <c r="PM21" s="192"/>
      <c r="PN21" s="187"/>
      <c r="PO21" s="187"/>
      <c r="PP21" s="187"/>
      <c r="PQ21" s="188"/>
      <c r="PR21" s="188"/>
      <c r="PS21" s="189"/>
      <c r="PT21" s="188"/>
      <c r="PU21" s="190"/>
      <c r="PV21" s="191"/>
      <c r="PW21" s="192"/>
      <c r="PX21" s="187"/>
      <c r="PY21" s="187"/>
      <c r="PZ21" s="187"/>
      <c r="QA21" s="188"/>
      <c r="QB21" s="188"/>
      <c r="QC21" s="189"/>
      <c r="QD21" s="188"/>
      <c r="QE21" s="190"/>
      <c r="QF21" s="191"/>
      <c r="QG21" s="192"/>
      <c r="QH21" s="187"/>
      <c r="QI21" s="187"/>
      <c r="QJ21" s="187"/>
      <c r="QK21" s="188"/>
      <c r="QL21" s="188"/>
      <c r="QM21" s="189"/>
      <c r="QN21" s="188"/>
      <c r="QO21" s="190"/>
      <c r="QP21" s="191"/>
      <c r="QQ21" s="192"/>
      <c r="QR21" s="187"/>
      <c r="QS21" s="187"/>
      <c r="QT21" s="187"/>
      <c r="QU21" s="188"/>
      <c r="QV21" s="188"/>
      <c r="QW21" s="189"/>
      <c r="QX21" s="188"/>
      <c r="QY21" s="190"/>
      <c r="QZ21" s="191"/>
      <c r="RA21" s="192"/>
      <c r="RB21" s="187"/>
      <c r="RC21" s="187"/>
      <c r="RD21" s="187"/>
      <c r="RE21" s="188"/>
      <c r="RF21" s="188"/>
      <c r="RG21" s="189"/>
      <c r="RH21" s="188"/>
      <c r="RI21" s="190"/>
      <c r="RJ21" s="191"/>
      <c r="RK21" s="192"/>
      <c r="RL21" s="187"/>
      <c r="RM21" s="193"/>
      <c r="RN21" s="194"/>
      <c r="RO21" s="195"/>
      <c r="RP21" s="195"/>
      <c r="RQ21" s="196"/>
      <c r="RR21" s="195"/>
      <c r="RS21" s="197"/>
      <c r="RT21" s="198"/>
      <c r="RU21" s="199"/>
      <c r="RV21" s="194"/>
      <c r="RW21" s="194"/>
      <c r="RX21" s="194"/>
      <c r="RY21" s="195"/>
      <c r="RZ21" s="195"/>
      <c r="SA21" s="196"/>
      <c r="SB21" s="195"/>
      <c r="SC21" s="197"/>
      <c r="SD21" s="198"/>
      <c r="SE21" s="199"/>
      <c r="SF21" s="194"/>
      <c r="SG21" s="194"/>
      <c r="SH21" s="194"/>
      <c r="SI21" s="195"/>
      <c r="SJ21" s="195"/>
      <c r="SK21" s="196"/>
      <c r="SL21" s="195"/>
      <c r="SM21" s="197"/>
      <c r="SN21" s="198"/>
      <c r="SO21" s="199"/>
      <c r="SP21" s="194"/>
      <c r="SQ21" s="194"/>
      <c r="SR21" s="194"/>
      <c r="SS21" s="195"/>
      <c r="ST21" s="195"/>
      <c r="SU21" s="196"/>
      <c r="SV21" s="195"/>
      <c r="SW21" s="197"/>
      <c r="SX21" s="198"/>
      <c r="SY21" s="199"/>
      <c r="SZ21" s="194"/>
      <c r="TA21" s="194"/>
      <c r="TB21" s="194"/>
      <c r="TC21" s="195"/>
      <c r="TD21" s="195"/>
      <c r="TE21" s="196"/>
      <c r="TF21" s="195"/>
      <c r="TG21" s="197"/>
      <c r="TH21" s="198"/>
      <c r="TI21" s="199"/>
      <c r="TJ21" s="194"/>
      <c r="TK21" s="194"/>
      <c r="TL21" s="194"/>
      <c r="TM21" s="195"/>
      <c r="TN21" s="195"/>
      <c r="TO21" s="196"/>
      <c r="TP21" s="195"/>
      <c r="TQ21" s="197"/>
      <c r="TR21" s="198"/>
      <c r="TS21" s="199"/>
      <c r="TT21" s="194"/>
      <c r="TU21" s="194"/>
      <c r="TV21" s="194"/>
      <c r="TW21" s="195"/>
      <c r="TX21" s="195"/>
      <c r="TY21" s="196"/>
      <c r="TZ21" s="195"/>
      <c r="UA21" s="197"/>
      <c r="UB21" s="198"/>
      <c r="UC21" s="199"/>
      <c r="UD21" s="194"/>
      <c r="UE21" s="194"/>
      <c r="UF21" s="194"/>
      <c r="UG21" s="195"/>
      <c r="UH21" s="195"/>
      <c r="UI21" s="196"/>
      <c r="UJ21" s="195"/>
      <c r="UK21" s="197"/>
      <c r="UL21" s="198"/>
      <c r="UM21" s="199"/>
      <c r="UN21" s="194"/>
      <c r="UO21" s="194"/>
      <c r="UP21" s="194"/>
      <c r="UQ21" s="195"/>
      <c r="UR21" s="195"/>
      <c r="US21" s="196"/>
      <c r="UT21" s="195"/>
      <c r="UU21" s="197"/>
      <c r="UV21" s="198"/>
      <c r="UW21" s="199"/>
      <c r="UX21" s="194"/>
      <c r="UY21" s="194"/>
      <c r="UZ21" s="194"/>
      <c r="VA21" s="195"/>
      <c r="VB21" s="195"/>
      <c r="VC21" s="196"/>
      <c r="VD21" s="195"/>
      <c r="VE21" s="197"/>
      <c r="VF21" s="198"/>
      <c r="VG21" s="199"/>
      <c r="VH21" s="194"/>
      <c r="VI21" s="194"/>
      <c r="VJ21" s="194"/>
      <c r="VK21" s="195"/>
      <c r="VL21" s="195"/>
      <c r="VM21" s="196"/>
      <c r="VN21" s="195"/>
      <c r="VO21" s="197"/>
      <c r="VP21" s="198"/>
      <c r="VQ21" s="199"/>
      <c r="VR21" s="194"/>
      <c r="VS21" s="194"/>
      <c r="VT21" s="194"/>
      <c r="VU21" s="195"/>
      <c r="VV21" s="195"/>
      <c r="VW21" s="196"/>
      <c r="VX21" s="195"/>
      <c r="VY21" s="197"/>
      <c r="VZ21" s="198"/>
      <c r="WA21" s="199"/>
      <c r="WB21" s="194"/>
      <c r="WC21" s="194"/>
      <c r="WD21" s="194"/>
      <c r="WE21" s="195"/>
      <c r="WF21" s="195"/>
      <c r="WG21" s="196"/>
      <c r="WH21" s="195"/>
      <c r="WI21" s="197"/>
      <c r="WJ21" s="198"/>
      <c r="WK21" s="199"/>
      <c r="WL21" s="194"/>
      <c r="WM21" s="194"/>
      <c r="WN21" s="194"/>
      <c r="WO21" s="195"/>
      <c r="WP21" s="195"/>
      <c r="WQ21" s="196"/>
      <c r="WR21" s="195"/>
      <c r="WS21" s="197"/>
      <c r="WT21" s="198"/>
      <c r="WU21" s="199"/>
      <c r="WV21" s="194"/>
      <c r="WW21" s="194"/>
      <c r="WX21" s="194"/>
      <c r="WY21" s="195"/>
      <c r="WZ21" s="195"/>
      <c r="XA21" s="196"/>
      <c r="XB21" s="195"/>
      <c r="XC21" s="197"/>
      <c r="XD21" s="198"/>
      <c r="XE21" s="199"/>
      <c r="XF21" s="194"/>
      <c r="XG21" s="194"/>
      <c r="XH21" s="194"/>
      <c r="XI21" s="195"/>
      <c r="XJ21" s="195"/>
      <c r="XK21" s="196"/>
      <c r="XL21" s="195"/>
      <c r="XM21" s="197"/>
      <c r="XN21" s="198"/>
      <c r="XO21" s="199"/>
      <c r="XP21" s="194"/>
      <c r="XQ21" s="194"/>
      <c r="XR21" s="194"/>
      <c r="XS21" s="195"/>
      <c r="XT21" s="195"/>
      <c r="XU21" s="196"/>
      <c r="XV21" s="195"/>
      <c r="XW21" s="197"/>
      <c r="XX21" s="198"/>
      <c r="XY21" s="199"/>
      <c r="XZ21" s="194"/>
      <c r="YA21" s="194"/>
      <c r="YB21" s="194"/>
      <c r="YC21" s="195"/>
      <c r="YD21" s="195"/>
      <c r="YE21" s="196"/>
      <c r="YF21" s="195"/>
      <c r="YG21" s="197"/>
      <c r="YH21" s="198"/>
      <c r="YI21" s="199"/>
      <c r="YJ21" s="194"/>
      <c r="YK21" s="194"/>
      <c r="YL21" s="194"/>
      <c r="YM21" s="195"/>
      <c r="YN21" s="195"/>
      <c r="YO21" s="196"/>
      <c r="YP21" s="195"/>
      <c r="YQ21" s="197"/>
      <c r="YR21" s="198"/>
      <c r="YS21" s="199"/>
      <c r="YT21" s="194"/>
      <c r="YU21" s="194"/>
      <c r="YV21" s="194"/>
      <c r="YW21" s="195"/>
      <c r="YX21" s="195"/>
      <c r="YY21" s="196"/>
      <c r="YZ21" s="195"/>
      <c r="ZA21" s="197"/>
      <c r="ZB21" s="198"/>
      <c r="ZC21" s="199"/>
      <c r="ZD21" s="194"/>
      <c r="ZE21" s="194"/>
      <c r="ZF21" s="194"/>
      <c r="ZG21" s="195"/>
      <c r="ZH21" s="195"/>
      <c r="ZI21" s="196"/>
      <c r="ZJ21" s="195"/>
      <c r="ZK21" s="197"/>
      <c r="ZL21" s="198"/>
      <c r="ZM21" s="199"/>
      <c r="ZN21" s="194"/>
      <c r="ZO21" s="194"/>
      <c r="ZP21" s="194"/>
      <c r="ZQ21" s="195"/>
      <c r="ZR21" s="195"/>
      <c r="ZS21" s="196"/>
      <c r="ZT21" s="195"/>
      <c r="ZU21" s="197"/>
      <c r="ZV21" s="198"/>
      <c r="ZW21" s="199"/>
      <c r="ZX21" s="194"/>
      <c r="ZY21" s="194"/>
      <c r="ZZ21" s="194"/>
      <c r="AAA21" s="195"/>
      <c r="AAB21" s="195"/>
      <c r="AAC21" s="196"/>
      <c r="AAD21" s="195"/>
      <c r="AAE21" s="197"/>
      <c r="AAF21" s="198"/>
      <c r="AAG21" s="199"/>
      <c r="AAH21" s="194"/>
      <c r="AAI21" s="194"/>
      <c r="AAJ21" s="194"/>
      <c r="AAK21" s="195"/>
      <c r="AAL21" s="195"/>
      <c r="AAM21" s="196"/>
      <c r="AAN21" s="195"/>
      <c r="AAO21" s="197"/>
      <c r="AAP21" s="198"/>
      <c r="AAQ21" s="199"/>
      <c r="AAR21" s="194"/>
      <c r="AAS21" s="194"/>
      <c r="AAT21" s="194"/>
      <c r="AAU21" s="195"/>
      <c r="AAV21" s="195"/>
      <c r="AAW21" s="196"/>
      <c r="AAX21" s="195"/>
      <c r="AAY21" s="197"/>
      <c r="AAZ21" s="198"/>
      <c r="ABA21" s="199"/>
      <c r="ABB21" s="194"/>
      <c r="ABC21" s="194"/>
      <c r="ABD21" s="194"/>
      <c r="ABE21" s="195"/>
      <c r="ABF21" s="195"/>
      <c r="ABG21" s="196"/>
      <c r="ABH21" s="195"/>
      <c r="ABI21" s="197"/>
      <c r="ABJ21" s="198"/>
      <c r="ABK21" s="199"/>
      <c r="ABL21" s="194"/>
      <c r="ABM21" s="194"/>
      <c r="ABN21" s="194"/>
      <c r="ABO21" s="195"/>
      <c r="ABP21" s="195"/>
      <c r="ABQ21" s="196"/>
      <c r="ABR21" s="195"/>
      <c r="ABS21" s="197"/>
      <c r="ABT21" s="198"/>
      <c r="ABU21" s="199"/>
      <c r="ABV21" s="194"/>
      <c r="ABW21" s="194"/>
      <c r="ABX21" s="194"/>
      <c r="ABY21" s="195"/>
      <c r="ABZ21" s="195"/>
      <c r="ACA21" s="196"/>
      <c r="ACB21" s="195"/>
      <c r="ACC21" s="197"/>
      <c r="ACD21" s="198"/>
      <c r="ACE21" s="199"/>
      <c r="ACF21" s="194"/>
      <c r="ACG21" s="194"/>
      <c r="ACH21" s="194"/>
      <c r="ACI21" s="195"/>
      <c r="ACJ21" s="195"/>
      <c r="ACK21" s="196"/>
      <c r="ACL21" s="195"/>
      <c r="ACM21" s="197"/>
      <c r="ACN21" s="198"/>
      <c r="ACO21" s="199"/>
      <c r="ACP21" s="194"/>
      <c r="ACQ21" s="194"/>
      <c r="ACR21" s="194"/>
      <c r="ACS21" s="195"/>
      <c r="ACT21" s="195"/>
      <c r="ACU21" s="196"/>
      <c r="ACV21" s="195"/>
      <c r="ACW21" s="197"/>
      <c r="ACX21" s="198"/>
      <c r="ACY21" s="199"/>
      <c r="ACZ21" s="194"/>
      <c r="ADA21" s="194"/>
      <c r="ADB21" s="194"/>
      <c r="ADC21" s="195"/>
      <c r="ADD21" s="195"/>
      <c r="ADE21" s="196"/>
      <c r="ADF21" s="195"/>
      <c r="ADG21" s="197"/>
      <c r="ADH21" s="198"/>
      <c r="ADI21" s="199"/>
      <c r="ADJ21" s="194"/>
      <c r="ADK21" s="194"/>
      <c r="ADL21" s="194"/>
      <c r="ADM21" s="195"/>
      <c r="ADN21" s="195"/>
      <c r="ADO21" s="196"/>
      <c r="ADP21" s="195"/>
      <c r="ADQ21" s="197"/>
      <c r="ADR21" s="198"/>
      <c r="ADS21" s="199"/>
      <c r="ADT21" s="194"/>
      <c r="ADU21" s="194"/>
      <c r="ADV21" s="194"/>
      <c r="ADW21" s="195"/>
      <c r="ADX21" s="195"/>
      <c r="ADY21" s="196"/>
      <c r="ADZ21" s="195"/>
      <c r="AEA21" s="197"/>
      <c r="AEB21" s="198"/>
      <c r="AEC21" s="199"/>
      <c r="AED21" s="194"/>
      <c r="AEE21" s="194"/>
      <c r="AEF21" s="194"/>
      <c r="AEG21" s="195"/>
      <c r="AEH21" s="195"/>
      <c r="AEI21" s="196"/>
      <c r="AEJ21" s="195"/>
      <c r="AEK21" s="197"/>
      <c r="AEL21" s="198"/>
      <c r="AEM21" s="199"/>
      <c r="AEN21" s="194"/>
      <c r="AEO21" s="194"/>
      <c r="AEP21" s="194"/>
      <c r="AEQ21" s="195"/>
      <c r="AER21" s="195"/>
      <c r="AES21" s="196"/>
      <c r="AET21" s="195"/>
      <c r="AEU21" s="197"/>
      <c r="AEV21" s="198"/>
      <c r="AEW21" s="199"/>
      <c r="AEX21" s="194"/>
      <c r="AEY21" s="194"/>
      <c r="AEZ21" s="194"/>
      <c r="AFA21" s="195"/>
      <c r="AFB21" s="195"/>
      <c r="AFC21" s="196"/>
      <c r="AFD21" s="195"/>
      <c r="AFE21" s="197"/>
      <c r="AFF21" s="198"/>
      <c r="AFG21" s="199"/>
      <c r="AFH21" s="194"/>
      <c r="AFI21" s="194"/>
      <c r="AFJ21" s="194"/>
      <c r="AFK21" s="195"/>
      <c r="AFL21" s="195"/>
      <c r="AFM21" s="196"/>
      <c r="AFN21" s="195"/>
      <c r="AFO21" s="197"/>
      <c r="AFP21" s="198"/>
      <c r="AFQ21" s="199"/>
      <c r="AFR21" s="194"/>
      <c r="AFS21" s="194"/>
      <c r="AFT21" s="194"/>
      <c r="AFU21" s="195"/>
      <c r="AFV21" s="195"/>
      <c r="AFW21" s="196"/>
      <c r="AFX21" s="195"/>
      <c r="AFY21" s="197"/>
      <c r="AFZ21" s="198"/>
      <c r="AGA21" s="199"/>
      <c r="AGB21" s="194"/>
      <c r="AGC21" s="194"/>
      <c r="AGD21" s="194"/>
      <c r="AGE21" s="195"/>
      <c r="AGF21" s="195"/>
      <c r="AGG21" s="196"/>
      <c r="AGH21" s="195"/>
      <c r="AGI21" s="197"/>
      <c r="AGJ21" s="198"/>
      <c r="AGK21" s="199"/>
      <c r="AGL21" s="194"/>
      <c r="AGM21" s="194"/>
      <c r="AGN21" s="194"/>
      <c r="AGO21" s="195"/>
      <c r="AGP21" s="195"/>
      <c r="AGQ21" s="196"/>
      <c r="AGR21" s="195"/>
      <c r="AGS21" s="197"/>
      <c r="AGT21" s="198"/>
      <c r="AGU21" s="199"/>
      <c r="AGV21" s="194"/>
      <c r="AGW21" s="194"/>
      <c r="AGX21" s="194"/>
      <c r="AGY21" s="195"/>
      <c r="AGZ21" s="195"/>
      <c r="AHA21" s="196"/>
      <c r="AHB21" s="195"/>
      <c r="AHC21" s="197"/>
      <c r="AHD21" s="198"/>
      <c r="AHE21" s="199"/>
      <c r="AHF21" s="194"/>
      <c r="AHG21" s="194"/>
      <c r="AHH21" s="194"/>
      <c r="AHI21" s="195"/>
      <c r="AHJ21" s="195"/>
      <c r="AHK21" s="196"/>
      <c r="AHL21" s="195"/>
      <c r="AHM21" s="197"/>
      <c r="AHN21" s="198"/>
      <c r="AHO21" s="199"/>
      <c r="AHP21" s="194"/>
      <c r="AHQ21" s="194"/>
      <c r="AHR21" s="194"/>
      <c r="AHS21" s="195"/>
      <c r="AHT21" s="195"/>
      <c r="AHU21" s="196"/>
      <c r="AHV21" s="195"/>
      <c r="AHW21" s="197"/>
      <c r="AHX21" s="198"/>
      <c r="AHY21" s="199"/>
      <c r="AHZ21" s="194"/>
      <c r="AIA21" s="194"/>
      <c r="AIB21" s="194"/>
      <c r="AIC21" s="195"/>
      <c r="AID21" s="195"/>
      <c r="AIE21" s="196"/>
      <c r="AIF21" s="195"/>
      <c r="AIG21" s="197"/>
      <c r="AIH21" s="198"/>
      <c r="AII21" s="199"/>
      <c r="AIJ21" s="194"/>
      <c r="AIK21" s="194"/>
      <c r="AIL21" s="194"/>
      <c r="AIM21" s="195"/>
      <c r="AIN21" s="195"/>
      <c r="AIO21" s="196"/>
      <c r="AIP21" s="195"/>
      <c r="AIQ21" s="197"/>
      <c r="AIR21" s="198"/>
      <c r="AIS21" s="199"/>
      <c r="AIT21" s="194"/>
      <c r="AIU21" s="194"/>
      <c r="AIV21" s="194"/>
      <c r="AIW21" s="195"/>
      <c r="AIX21" s="195"/>
      <c r="AIY21" s="196"/>
      <c r="AIZ21" s="195"/>
      <c r="AJA21" s="197"/>
      <c r="AJB21" s="198"/>
      <c r="AJC21" s="199"/>
      <c r="AJD21" s="194"/>
      <c r="AJE21" s="194"/>
      <c r="AJF21" s="194"/>
      <c r="AJG21" s="195"/>
      <c r="AJH21" s="195"/>
      <c r="AJI21" s="196"/>
      <c r="AJJ21" s="195"/>
      <c r="AJK21" s="197"/>
      <c r="AJL21" s="198"/>
      <c r="AJM21" s="199"/>
      <c r="AJN21" s="194"/>
      <c r="AJO21" s="194"/>
      <c r="AJP21" s="194"/>
      <c r="AJQ21" s="195"/>
      <c r="AJR21" s="195"/>
      <c r="AJS21" s="196"/>
      <c r="AJT21" s="195"/>
      <c r="AJU21" s="197"/>
      <c r="AJV21" s="198"/>
      <c r="AJW21" s="199"/>
      <c r="AJX21" s="194"/>
      <c r="AJY21" s="194"/>
      <c r="AJZ21" s="194"/>
      <c r="AKA21" s="195"/>
      <c r="AKB21" s="195"/>
      <c r="AKC21" s="196"/>
      <c r="AKD21" s="195"/>
      <c r="AKE21" s="197"/>
      <c r="AKF21" s="198"/>
      <c r="AKG21" s="199"/>
      <c r="AKH21" s="194"/>
      <c r="AKI21" s="194"/>
      <c r="AKJ21" s="194"/>
      <c r="AKK21" s="195"/>
      <c r="AKL21" s="195"/>
      <c r="AKM21" s="196"/>
      <c r="AKN21" s="195"/>
      <c r="AKO21" s="197"/>
      <c r="AKP21" s="198"/>
      <c r="AKQ21" s="199"/>
      <c r="AKR21" s="194"/>
      <c r="AKS21" s="194"/>
      <c r="AKT21" s="194"/>
      <c r="AKU21" s="195"/>
      <c r="AKV21" s="195"/>
      <c r="AKW21" s="196"/>
      <c r="AKX21" s="195"/>
      <c r="AKY21" s="197"/>
      <c r="AKZ21" s="198"/>
      <c r="ALA21" s="199"/>
      <c r="ALB21" s="194"/>
      <c r="ALC21" s="194"/>
      <c r="ALD21" s="194"/>
      <c r="ALE21" s="195"/>
      <c r="ALF21" s="195"/>
      <c r="ALG21" s="196"/>
      <c r="ALH21" s="195"/>
      <c r="ALI21" s="197"/>
      <c r="ALJ21" s="198"/>
      <c r="ALK21" s="199"/>
      <c r="ALL21" s="194"/>
      <c r="ALM21" s="194"/>
      <c r="ALN21" s="194"/>
      <c r="ALO21" s="195"/>
      <c r="ALP21" s="195"/>
      <c r="ALQ21" s="196"/>
      <c r="ALR21" s="195"/>
      <c r="ALS21" s="197"/>
      <c r="ALT21" s="198"/>
      <c r="ALU21" s="199"/>
      <c r="ALV21" s="194"/>
      <c r="ALW21" s="194"/>
      <c r="ALX21" s="194"/>
      <c r="ALY21" s="195"/>
      <c r="ALZ21" s="195"/>
      <c r="AMA21" s="196"/>
      <c r="AMB21" s="195"/>
      <c r="AMC21" s="197"/>
      <c r="AMD21" s="198"/>
      <c r="AME21" s="199"/>
      <c r="AMF21" s="194"/>
      <c r="AMG21" s="194"/>
      <c r="AMH21" s="194"/>
      <c r="AMI21" s="195"/>
      <c r="AMJ21" s="195"/>
      <c r="AMK21" s="196"/>
      <c r="AML21" s="195"/>
      <c r="AMM21" s="197"/>
      <c r="AMN21" s="198"/>
      <c r="AMO21" s="199"/>
      <c r="AMP21" s="194"/>
      <c r="AMQ21" s="194"/>
      <c r="AMR21" s="194"/>
      <c r="AMS21" s="195"/>
      <c r="AMT21" s="195"/>
      <c r="AMU21" s="196"/>
      <c r="AMV21" s="195"/>
      <c r="AMW21" s="197"/>
      <c r="AMX21" s="198"/>
      <c r="AMY21" s="199"/>
      <c r="AMZ21" s="194"/>
      <c r="ANA21" s="194"/>
      <c r="ANB21" s="194"/>
      <c r="ANC21" s="195"/>
      <c r="AND21" s="195"/>
      <c r="ANE21" s="196"/>
      <c r="ANF21" s="195"/>
      <c r="ANG21" s="197"/>
      <c r="ANH21" s="198"/>
      <c r="ANI21" s="199"/>
      <c r="ANJ21" s="194"/>
      <c r="ANK21" s="194"/>
      <c r="ANL21" s="194"/>
      <c r="ANM21" s="195"/>
      <c r="ANN21" s="195"/>
      <c r="ANO21" s="196"/>
      <c r="ANP21" s="195"/>
      <c r="ANQ21" s="197"/>
      <c r="ANR21" s="198"/>
      <c r="ANS21" s="199"/>
      <c r="ANT21" s="194"/>
      <c r="ANU21" s="194"/>
      <c r="ANV21" s="194"/>
      <c r="ANW21" s="195"/>
      <c r="ANX21" s="195"/>
      <c r="ANY21" s="196"/>
      <c r="ANZ21" s="195"/>
      <c r="AOA21" s="197"/>
      <c r="AOB21" s="198"/>
      <c r="AOC21" s="199"/>
      <c r="AOD21" s="194"/>
      <c r="AOE21" s="194"/>
      <c r="AOF21" s="194"/>
      <c r="AOG21" s="195"/>
      <c r="AOH21" s="195"/>
      <c r="AOI21" s="196"/>
      <c r="AOJ21" s="195"/>
      <c r="AOK21" s="197"/>
      <c r="AOL21" s="198"/>
      <c r="AOM21" s="199"/>
      <c r="AON21" s="194"/>
      <c r="AOO21" s="194"/>
      <c r="AOP21" s="194"/>
      <c r="AOQ21" s="195"/>
      <c r="AOR21" s="195"/>
      <c r="AOS21" s="196"/>
      <c r="AOT21" s="195"/>
      <c r="AOU21" s="197"/>
      <c r="AOV21" s="198"/>
      <c r="AOW21" s="199"/>
      <c r="AOX21" s="194"/>
      <c r="AOY21" s="194"/>
      <c r="AOZ21" s="194"/>
      <c r="APA21" s="195"/>
      <c r="APB21" s="195"/>
      <c r="APC21" s="196"/>
      <c r="APD21" s="195"/>
      <c r="APE21" s="197"/>
      <c r="APF21" s="198"/>
      <c r="APG21" s="199"/>
      <c r="APH21" s="194"/>
      <c r="API21" s="194"/>
      <c r="APJ21" s="194"/>
      <c r="APK21" s="195"/>
      <c r="APL21" s="195"/>
      <c r="APM21" s="196"/>
      <c r="APN21" s="195"/>
      <c r="APO21" s="197"/>
      <c r="APP21" s="198"/>
      <c r="APQ21" s="199"/>
      <c r="APR21" s="194"/>
      <c r="APS21" s="194"/>
      <c r="APT21" s="194"/>
      <c r="APU21" s="195"/>
      <c r="APV21" s="195"/>
      <c r="APW21" s="196"/>
      <c r="APX21" s="195"/>
      <c r="APY21" s="197"/>
      <c r="APZ21" s="198"/>
      <c r="AQA21" s="199"/>
      <c r="AQB21" s="194"/>
      <c r="AQC21" s="194"/>
      <c r="AQD21" s="194"/>
      <c r="AQE21" s="195"/>
      <c r="AQF21" s="195"/>
      <c r="AQG21" s="196"/>
      <c r="AQH21" s="195"/>
      <c r="AQI21" s="197"/>
      <c r="AQJ21" s="198"/>
      <c r="AQK21" s="199"/>
      <c r="AQL21" s="194"/>
      <c r="AQM21" s="194"/>
      <c r="AQN21" s="194"/>
      <c r="AQO21" s="195"/>
      <c r="AQP21" s="195"/>
      <c r="AQQ21" s="196"/>
      <c r="AQR21" s="195"/>
      <c r="AQS21" s="197"/>
      <c r="AQT21" s="198"/>
      <c r="AQU21" s="199"/>
      <c r="AQV21" s="194"/>
      <c r="AQW21" s="194"/>
      <c r="AQX21" s="194"/>
      <c r="AQY21" s="195"/>
      <c r="AQZ21" s="195"/>
      <c r="ARA21" s="196"/>
      <c r="ARB21" s="195"/>
      <c r="ARC21" s="197"/>
      <c r="ARD21" s="198"/>
      <c r="ARE21" s="199"/>
      <c r="ARF21" s="194"/>
      <c r="ARG21" s="194"/>
      <c r="ARH21" s="194"/>
      <c r="ARI21" s="195"/>
      <c r="ARJ21" s="195"/>
      <c r="ARK21" s="196"/>
      <c r="ARL21" s="195"/>
      <c r="ARM21" s="197"/>
      <c r="ARN21" s="198"/>
      <c r="ARO21" s="199"/>
      <c r="ARP21" s="194"/>
      <c r="ARQ21" s="194"/>
      <c r="ARR21" s="194"/>
      <c r="ARS21" s="195"/>
      <c r="ART21" s="195"/>
      <c r="ARU21" s="196"/>
      <c r="ARV21" s="195"/>
      <c r="ARW21" s="197"/>
      <c r="ARX21" s="198"/>
      <c r="ARY21" s="199"/>
      <c r="ARZ21" s="194"/>
      <c r="ASA21" s="194"/>
      <c r="ASB21" s="194"/>
      <c r="ASC21" s="195"/>
      <c r="ASD21" s="195"/>
      <c r="ASE21" s="196"/>
      <c r="ASF21" s="195"/>
      <c r="ASG21" s="197"/>
      <c r="ASH21" s="198"/>
      <c r="ASI21" s="199"/>
      <c r="ASJ21" s="194"/>
      <c r="ASK21" s="194"/>
      <c r="ASL21" s="194"/>
      <c r="ASM21" s="195"/>
      <c r="ASN21" s="195"/>
      <c r="ASO21" s="196"/>
      <c r="ASP21" s="195"/>
      <c r="ASQ21" s="197"/>
      <c r="ASR21" s="198"/>
      <c r="ASS21" s="199"/>
      <c r="AST21" s="194"/>
      <c r="ASU21" s="194"/>
      <c r="ASV21" s="194"/>
      <c r="ASW21" s="195"/>
      <c r="ASX21" s="195"/>
      <c r="ASY21" s="196"/>
      <c r="ASZ21" s="195"/>
      <c r="ATA21" s="197"/>
      <c r="ATB21" s="198"/>
      <c r="ATC21" s="199"/>
      <c r="ATD21" s="194"/>
      <c r="ATE21" s="194"/>
      <c r="ATF21" s="194"/>
      <c r="ATG21" s="195"/>
      <c r="ATH21" s="195"/>
      <c r="ATI21" s="196"/>
      <c r="ATJ21" s="195"/>
      <c r="ATK21" s="197"/>
      <c r="ATL21" s="198"/>
      <c r="ATM21" s="199"/>
      <c r="ATN21" s="194"/>
      <c r="ATO21" s="194"/>
      <c r="ATP21" s="194"/>
      <c r="ATQ21" s="195"/>
      <c r="ATR21" s="195"/>
      <c r="ATS21" s="196"/>
      <c r="ATT21" s="195"/>
      <c r="ATU21" s="197"/>
      <c r="ATV21" s="198"/>
      <c r="ATW21" s="199"/>
      <c r="ATX21" s="194"/>
      <c r="ATY21" s="194"/>
      <c r="ATZ21" s="194"/>
      <c r="AUA21" s="195"/>
      <c r="AUB21" s="195"/>
      <c r="AUC21" s="196"/>
      <c r="AUD21" s="195"/>
      <c r="AUE21" s="197"/>
      <c r="AUF21" s="198"/>
      <c r="AUG21" s="199"/>
      <c r="AUH21" s="194"/>
      <c r="AUI21" s="194"/>
      <c r="AUJ21" s="194"/>
      <c r="AUK21" s="195"/>
      <c r="AUL21" s="195"/>
      <c r="AUM21" s="196"/>
      <c r="AUN21" s="195"/>
      <c r="AUO21" s="197"/>
      <c r="AUP21" s="198"/>
      <c r="AUQ21" s="199"/>
      <c r="AUR21" s="194"/>
      <c r="AUS21" s="194"/>
      <c r="AUT21" s="194"/>
      <c r="AUU21" s="195"/>
      <c r="AUV21" s="195"/>
      <c r="AUW21" s="196"/>
      <c r="AUX21" s="195"/>
      <c r="AUY21" s="197"/>
      <c r="AUZ21" s="198"/>
      <c r="AVA21" s="199"/>
      <c r="AVB21" s="194"/>
      <c r="AVC21" s="194"/>
      <c r="AVD21" s="194"/>
      <c r="AVE21" s="195"/>
      <c r="AVF21" s="195"/>
      <c r="AVG21" s="196"/>
      <c r="AVH21" s="195"/>
      <c r="AVI21" s="197"/>
      <c r="AVJ21" s="198"/>
      <c r="AVK21" s="199"/>
      <c r="AVL21" s="194"/>
      <c r="AVM21" s="194"/>
      <c r="AVN21" s="194"/>
      <c r="AVO21" s="195"/>
      <c r="AVP21" s="195"/>
      <c r="AVQ21" s="196"/>
      <c r="AVR21" s="195"/>
      <c r="AVS21" s="197"/>
      <c r="AVT21" s="198"/>
      <c r="AVU21" s="199"/>
      <c r="AVV21" s="194"/>
      <c r="AVW21" s="194"/>
      <c r="AVX21" s="194"/>
      <c r="AVY21" s="195"/>
      <c r="AVZ21" s="195"/>
      <c r="AWA21" s="196"/>
      <c r="AWB21" s="195"/>
      <c r="AWC21" s="197"/>
      <c r="AWD21" s="198"/>
      <c r="AWE21" s="199"/>
      <c r="AWF21" s="194"/>
      <c r="AWG21" s="194"/>
      <c r="AWH21" s="194"/>
      <c r="AWI21" s="195"/>
      <c r="AWJ21" s="195"/>
      <c r="AWK21" s="196"/>
      <c r="AWL21" s="195"/>
      <c r="AWM21" s="197"/>
      <c r="AWN21" s="198"/>
      <c r="AWO21" s="199"/>
      <c r="AWP21" s="194"/>
      <c r="AWQ21" s="194"/>
      <c r="AWR21" s="194"/>
      <c r="AWS21" s="195"/>
      <c r="AWT21" s="195"/>
      <c r="AWU21" s="196"/>
      <c r="AWV21" s="195"/>
      <c r="AWW21" s="197"/>
      <c r="AWX21" s="198"/>
      <c r="AWY21" s="199"/>
      <c r="AWZ21" s="194"/>
      <c r="AXA21" s="194"/>
      <c r="AXB21" s="194"/>
      <c r="AXC21" s="195"/>
      <c r="AXD21" s="195"/>
      <c r="AXE21" s="196"/>
      <c r="AXF21" s="195"/>
      <c r="AXG21" s="197"/>
      <c r="AXH21" s="198"/>
      <c r="AXI21" s="199"/>
      <c r="AXJ21" s="194"/>
      <c r="AXK21" s="194"/>
      <c r="AXL21" s="194"/>
      <c r="AXM21" s="195"/>
      <c r="AXN21" s="195"/>
      <c r="AXO21" s="196"/>
      <c r="AXP21" s="195"/>
      <c r="AXQ21" s="197"/>
      <c r="AXR21" s="198"/>
      <c r="AXS21" s="199"/>
      <c r="AXT21" s="194"/>
      <c r="AXU21" s="194"/>
      <c r="AXV21" s="194"/>
      <c r="AXW21" s="195"/>
      <c r="AXX21" s="195"/>
      <c r="AXY21" s="196"/>
      <c r="AXZ21" s="195"/>
      <c r="AYA21" s="197"/>
      <c r="AYB21" s="198"/>
      <c r="AYC21" s="199"/>
      <c r="AYD21" s="194"/>
      <c r="AYE21" s="194"/>
      <c r="AYF21" s="194"/>
      <c r="AYG21" s="195"/>
      <c r="AYH21" s="195"/>
      <c r="AYI21" s="196"/>
      <c r="AYJ21" s="195"/>
      <c r="AYK21" s="197"/>
      <c r="AYL21" s="198"/>
      <c r="AYM21" s="199"/>
      <c r="AYN21" s="194"/>
      <c r="AYO21" s="194"/>
      <c r="AYP21" s="194"/>
      <c r="AYQ21" s="195"/>
      <c r="AYR21" s="195"/>
      <c r="AYS21" s="196"/>
      <c r="AYT21" s="195"/>
      <c r="AYU21" s="197"/>
      <c r="AYV21" s="198"/>
      <c r="AYW21" s="199"/>
      <c r="AYX21" s="194"/>
      <c r="AYY21" s="194"/>
      <c r="AYZ21" s="194"/>
      <c r="AZA21" s="195"/>
      <c r="AZB21" s="195"/>
      <c r="AZC21" s="196"/>
      <c r="AZD21" s="195"/>
      <c r="AZE21" s="197"/>
      <c r="AZF21" s="198"/>
      <c r="AZG21" s="199"/>
      <c r="AZH21" s="194"/>
      <c r="AZI21" s="194"/>
      <c r="AZJ21" s="194"/>
      <c r="AZK21" s="195"/>
      <c r="AZL21" s="195"/>
      <c r="AZM21" s="196"/>
      <c r="AZN21" s="195"/>
      <c r="AZO21" s="197"/>
      <c r="AZP21" s="198"/>
      <c r="AZQ21" s="199"/>
      <c r="AZR21" s="194"/>
      <c r="AZS21" s="194"/>
      <c r="AZT21" s="194"/>
      <c r="AZU21" s="195"/>
      <c r="AZV21" s="195"/>
      <c r="AZW21" s="196"/>
      <c r="AZX21" s="195"/>
      <c r="AZY21" s="197"/>
      <c r="AZZ21" s="198"/>
      <c r="BAA21" s="199"/>
      <c r="BAB21" s="194"/>
      <c r="BAC21" s="194"/>
      <c r="BAD21" s="194"/>
      <c r="BAE21" s="195"/>
      <c r="BAF21" s="195"/>
      <c r="BAG21" s="196"/>
      <c r="BAH21" s="195"/>
      <c r="BAI21" s="197"/>
      <c r="BAJ21" s="198"/>
      <c r="BAK21" s="199"/>
      <c r="BAL21" s="194"/>
      <c r="BAM21" s="194"/>
      <c r="BAN21" s="194"/>
      <c r="BAO21" s="195"/>
      <c r="BAP21" s="195"/>
      <c r="BAQ21" s="196"/>
      <c r="BAR21" s="195"/>
      <c r="BAS21" s="197"/>
      <c r="BAT21" s="198"/>
      <c r="BAU21" s="199"/>
      <c r="BAV21" s="194"/>
      <c r="BAW21" s="194"/>
      <c r="BAX21" s="194"/>
      <c r="BAY21" s="195"/>
      <c r="BAZ21" s="195"/>
      <c r="BBA21" s="196"/>
      <c r="BBB21" s="195"/>
      <c r="BBC21" s="197"/>
      <c r="BBD21" s="198"/>
      <c r="BBE21" s="199"/>
      <c r="BBF21" s="194"/>
      <c r="BBG21" s="194"/>
      <c r="BBH21" s="194"/>
      <c r="BBI21" s="195"/>
      <c r="BBJ21" s="195"/>
      <c r="BBK21" s="196"/>
      <c r="BBL21" s="195"/>
      <c r="BBM21" s="197"/>
      <c r="BBN21" s="198"/>
      <c r="BBO21" s="199"/>
      <c r="BBP21" s="194"/>
      <c r="BBQ21" s="194"/>
      <c r="BBR21" s="194"/>
      <c r="BBS21" s="195"/>
      <c r="BBT21" s="195"/>
      <c r="BBU21" s="196"/>
      <c r="BBV21" s="195"/>
      <c r="BBW21" s="197"/>
      <c r="BBX21" s="198"/>
      <c r="BBY21" s="199"/>
      <c r="BBZ21" s="194"/>
      <c r="BCA21" s="194"/>
      <c r="BCB21" s="194"/>
      <c r="BCC21" s="195"/>
      <c r="BCD21" s="195"/>
      <c r="BCE21" s="196"/>
      <c r="BCF21" s="195"/>
      <c r="BCG21" s="197"/>
      <c r="BCH21" s="198"/>
      <c r="BCI21" s="199"/>
      <c r="BCJ21" s="194"/>
      <c r="BCK21" s="194"/>
      <c r="BCL21" s="194"/>
      <c r="BCM21" s="195"/>
      <c r="BCN21" s="195"/>
      <c r="BCO21" s="196"/>
      <c r="BCP21" s="195"/>
      <c r="BCQ21" s="197"/>
      <c r="BCR21" s="198"/>
      <c r="BCS21" s="199"/>
      <c r="BCT21" s="194"/>
      <c r="BCU21" s="194"/>
      <c r="BCV21" s="194"/>
      <c r="BCW21" s="195"/>
      <c r="BCX21" s="195"/>
      <c r="BCY21" s="196"/>
      <c r="BCZ21" s="195"/>
      <c r="BDA21" s="197"/>
      <c r="BDB21" s="198"/>
      <c r="BDC21" s="199"/>
      <c r="BDD21" s="194"/>
      <c r="BDE21" s="194"/>
      <c r="BDF21" s="194"/>
      <c r="BDG21" s="195"/>
      <c r="BDH21" s="195"/>
      <c r="BDI21" s="196"/>
      <c r="BDJ21" s="195"/>
      <c r="BDK21" s="197"/>
      <c r="BDL21" s="198"/>
      <c r="BDM21" s="199"/>
      <c r="BDN21" s="194"/>
      <c r="BDO21" s="194"/>
      <c r="BDP21" s="194"/>
      <c r="BDQ21" s="195"/>
      <c r="BDR21" s="195"/>
      <c r="BDS21" s="196"/>
      <c r="BDT21" s="195"/>
      <c r="BDU21" s="197"/>
      <c r="BDV21" s="198"/>
      <c r="BDW21" s="199"/>
      <c r="BDX21" s="194"/>
      <c r="BDY21" s="194"/>
      <c r="BDZ21" s="194"/>
      <c r="BEA21" s="195"/>
      <c r="BEB21" s="195"/>
      <c r="BEC21" s="196"/>
      <c r="BED21" s="195"/>
      <c r="BEE21" s="197"/>
      <c r="BEF21" s="198"/>
      <c r="BEG21" s="199"/>
      <c r="BEH21" s="194"/>
      <c r="BEI21" s="194"/>
      <c r="BEJ21" s="194"/>
      <c r="BEK21" s="195"/>
      <c r="BEL21" s="195"/>
      <c r="BEM21" s="196"/>
      <c r="BEN21" s="195"/>
      <c r="BEO21" s="197"/>
      <c r="BEP21" s="198"/>
      <c r="BEQ21" s="199"/>
      <c r="BER21" s="194"/>
      <c r="BES21" s="194"/>
      <c r="BET21" s="194"/>
      <c r="BEU21" s="195"/>
      <c r="BEV21" s="195"/>
      <c r="BEW21" s="196"/>
      <c r="BEX21" s="195"/>
      <c r="BEY21" s="197"/>
      <c r="BEZ21" s="198"/>
      <c r="BFA21" s="199"/>
      <c r="BFB21" s="194"/>
      <c r="BFC21" s="194"/>
      <c r="BFD21" s="194"/>
      <c r="BFE21" s="195"/>
      <c r="BFF21" s="195"/>
      <c r="BFG21" s="196"/>
      <c r="BFH21" s="195"/>
      <c r="BFI21" s="197"/>
      <c r="BFJ21" s="198"/>
      <c r="BFK21" s="199"/>
      <c r="BFL21" s="194"/>
      <c r="BFM21" s="194"/>
      <c r="BFN21" s="194"/>
      <c r="BFO21" s="195"/>
      <c r="BFP21" s="195"/>
      <c r="BFQ21" s="196"/>
      <c r="BFR21" s="195"/>
      <c r="BFS21" s="197"/>
      <c r="BFT21" s="198"/>
      <c r="BFU21" s="199"/>
      <c r="BFV21" s="194"/>
      <c r="BFW21" s="194"/>
      <c r="BFX21" s="194"/>
      <c r="BFY21" s="195"/>
      <c r="BFZ21" s="195"/>
      <c r="BGA21" s="196"/>
      <c r="BGB21" s="195"/>
      <c r="BGC21" s="197"/>
      <c r="BGD21" s="198"/>
      <c r="BGE21" s="199"/>
      <c r="BGF21" s="194"/>
      <c r="BGG21" s="194"/>
      <c r="BGH21" s="194"/>
      <c r="BGI21" s="195"/>
      <c r="BGJ21" s="195"/>
      <c r="BGK21" s="196"/>
      <c r="BGL21" s="195"/>
      <c r="BGM21" s="197"/>
      <c r="BGN21" s="198"/>
      <c r="BGO21" s="199"/>
      <c r="BGP21" s="194"/>
      <c r="BGQ21" s="194"/>
      <c r="BGR21" s="194"/>
      <c r="BGS21" s="195"/>
      <c r="BGT21" s="195"/>
      <c r="BGU21" s="196"/>
      <c r="BGV21" s="195"/>
      <c r="BGW21" s="197"/>
      <c r="BGX21" s="198"/>
      <c r="BGY21" s="199"/>
      <c r="BGZ21" s="194"/>
      <c r="BHA21" s="194"/>
      <c r="BHB21" s="194"/>
      <c r="BHC21" s="195"/>
      <c r="BHD21" s="195"/>
      <c r="BHE21" s="196"/>
      <c r="BHF21" s="195"/>
      <c r="BHG21" s="197"/>
      <c r="BHH21" s="198"/>
      <c r="BHI21" s="199"/>
      <c r="BHJ21" s="194"/>
      <c r="BHK21" s="194"/>
      <c r="BHL21" s="194"/>
      <c r="BHM21" s="195"/>
      <c r="BHN21" s="195"/>
      <c r="BHO21" s="196"/>
      <c r="BHP21" s="195"/>
      <c r="BHQ21" s="197"/>
      <c r="BHR21" s="198"/>
      <c r="BHS21" s="199"/>
      <c r="BHT21" s="194"/>
      <c r="BHU21" s="194"/>
      <c r="BHV21" s="194"/>
      <c r="BHW21" s="195"/>
      <c r="BHX21" s="195"/>
      <c r="BHY21" s="196"/>
      <c r="BHZ21" s="195"/>
      <c r="BIA21" s="197"/>
      <c r="BIB21" s="198"/>
      <c r="BIC21" s="199"/>
      <c r="BID21" s="194"/>
      <c r="BIE21" s="194"/>
      <c r="BIF21" s="194"/>
      <c r="BIG21" s="195"/>
      <c r="BIH21" s="195"/>
      <c r="BII21" s="196"/>
      <c r="BIJ21" s="195"/>
      <c r="BIK21" s="197"/>
      <c r="BIL21" s="198"/>
      <c r="BIM21" s="199"/>
      <c r="BIN21" s="194"/>
      <c r="BIO21" s="194"/>
      <c r="BIP21" s="194"/>
      <c r="BIQ21" s="195"/>
      <c r="BIR21" s="195"/>
      <c r="BIS21" s="196"/>
      <c r="BIT21" s="195"/>
      <c r="BIU21" s="197"/>
      <c r="BIV21" s="198"/>
      <c r="BIW21" s="199"/>
      <c r="BIX21" s="194"/>
      <c r="BIY21" s="194"/>
      <c r="BIZ21" s="194"/>
      <c r="BJA21" s="195"/>
      <c r="BJB21" s="195"/>
      <c r="BJC21" s="196"/>
      <c r="BJD21" s="195"/>
      <c r="BJE21" s="197"/>
      <c r="BJF21" s="198"/>
      <c r="BJG21" s="199"/>
      <c r="BJH21" s="194"/>
      <c r="BJI21" s="194"/>
      <c r="BJJ21" s="194"/>
      <c r="BJK21" s="195"/>
      <c r="BJL21" s="195"/>
      <c r="BJM21" s="196"/>
      <c r="BJN21" s="195"/>
      <c r="BJO21" s="197"/>
      <c r="BJP21" s="198"/>
      <c r="BJQ21" s="199"/>
      <c r="BJR21" s="194"/>
      <c r="BJS21" s="194"/>
      <c r="BJT21" s="194"/>
      <c r="BJU21" s="195"/>
      <c r="BJV21" s="195"/>
      <c r="BJW21" s="196"/>
      <c r="BJX21" s="195"/>
      <c r="BJY21" s="197"/>
      <c r="BJZ21" s="198"/>
      <c r="BKA21" s="199"/>
      <c r="BKB21" s="194"/>
      <c r="BKC21" s="194"/>
      <c r="BKD21" s="194"/>
      <c r="BKE21" s="195"/>
      <c r="BKF21" s="195"/>
      <c r="BKG21" s="196"/>
      <c r="BKH21" s="195"/>
      <c r="BKI21" s="197"/>
      <c r="BKJ21" s="198"/>
      <c r="BKK21" s="199"/>
      <c r="BKL21" s="194"/>
      <c r="BKM21" s="194"/>
      <c r="BKN21" s="194"/>
      <c r="BKO21" s="195"/>
      <c r="BKP21" s="195"/>
      <c r="BKQ21" s="196"/>
      <c r="BKR21" s="195"/>
      <c r="BKS21" s="197"/>
      <c r="BKT21" s="198"/>
      <c r="BKU21" s="199"/>
      <c r="BKV21" s="194"/>
      <c r="BKW21" s="194"/>
      <c r="BKX21" s="194"/>
      <c r="BKY21" s="195"/>
      <c r="BKZ21" s="195"/>
      <c r="BLA21" s="196"/>
      <c r="BLB21" s="195"/>
      <c r="BLC21" s="197"/>
      <c r="BLD21" s="198"/>
      <c r="BLE21" s="199"/>
      <c r="BLF21" s="194"/>
      <c r="BLG21" s="194"/>
      <c r="BLH21" s="194"/>
      <c r="BLI21" s="195"/>
      <c r="BLJ21" s="195"/>
      <c r="BLK21" s="196"/>
      <c r="BLL21" s="195"/>
      <c r="BLM21" s="197"/>
      <c r="BLN21" s="198"/>
      <c r="BLO21" s="199"/>
      <c r="BLP21" s="194"/>
      <c r="BLQ21" s="194"/>
      <c r="BLR21" s="194"/>
      <c r="BLS21" s="195"/>
      <c r="BLT21" s="195"/>
      <c r="BLU21" s="196"/>
      <c r="BLV21" s="195"/>
      <c r="BLW21" s="197"/>
      <c r="BLX21" s="198"/>
      <c r="BLY21" s="199"/>
      <c r="BLZ21" s="194"/>
      <c r="BMA21" s="194"/>
      <c r="BMB21" s="194"/>
      <c r="BMC21" s="195"/>
      <c r="BMD21" s="195"/>
      <c r="BME21" s="196"/>
      <c r="BMF21" s="195"/>
      <c r="BMG21" s="197"/>
      <c r="BMH21" s="198"/>
      <c r="BMI21" s="199"/>
      <c r="BMJ21" s="194"/>
      <c r="BMK21" s="194"/>
      <c r="BML21" s="194"/>
      <c r="BMM21" s="195"/>
      <c r="BMN21" s="195"/>
      <c r="BMO21" s="196"/>
      <c r="BMP21" s="195"/>
      <c r="BMQ21" s="197"/>
      <c r="BMR21" s="198"/>
      <c r="BMS21" s="199"/>
      <c r="BMT21" s="194"/>
      <c r="BMU21" s="194"/>
      <c r="BMV21" s="194"/>
      <c r="BMW21" s="195"/>
      <c r="BMX21" s="195"/>
      <c r="BMY21" s="196"/>
      <c r="BMZ21" s="195"/>
      <c r="BNA21" s="197"/>
      <c r="BNB21" s="198"/>
      <c r="BNC21" s="199"/>
      <c r="BND21" s="194"/>
      <c r="BNE21" s="194"/>
      <c r="BNF21" s="194"/>
      <c r="BNG21" s="195"/>
      <c r="BNH21" s="195"/>
      <c r="BNI21" s="196"/>
      <c r="BNJ21" s="195"/>
      <c r="BNK21" s="197"/>
      <c r="BNL21" s="198"/>
      <c r="BNM21" s="199"/>
      <c r="BNN21" s="194"/>
      <c r="BNO21" s="194"/>
      <c r="BNP21" s="194"/>
      <c r="BNQ21" s="195"/>
      <c r="BNR21" s="195"/>
      <c r="BNS21" s="196"/>
      <c r="BNT21" s="195"/>
      <c r="BNU21" s="197"/>
      <c r="BNV21" s="198"/>
      <c r="BNW21" s="199"/>
      <c r="BNX21" s="194"/>
      <c r="BNY21" s="194"/>
      <c r="BNZ21" s="194"/>
      <c r="BOA21" s="195"/>
      <c r="BOB21" s="195"/>
      <c r="BOC21" s="196"/>
      <c r="BOD21" s="195"/>
      <c r="BOE21" s="197"/>
      <c r="BOF21" s="198"/>
      <c r="BOG21" s="199"/>
      <c r="BOH21" s="194"/>
      <c r="BOI21" s="194"/>
      <c r="BOJ21" s="194"/>
      <c r="BOK21" s="195"/>
      <c r="BOL21" s="195"/>
      <c r="BOM21" s="196"/>
      <c r="BON21" s="195"/>
      <c r="BOO21" s="197"/>
      <c r="BOP21" s="198"/>
      <c r="BOQ21" s="199"/>
      <c r="BOR21" s="194"/>
      <c r="BOS21" s="194"/>
      <c r="BOT21" s="194"/>
      <c r="BOU21" s="195"/>
      <c r="BOV21" s="195"/>
      <c r="BOW21" s="196"/>
      <c r="BOX21" s="195"/>
      <c r="BOY21" s="197"/>
      <c r="BOZ21" s="198"/>
      <c r="BPA21" s="199"/>
      <c r="BPB21" s="194"/>
      <c r="BPC21" s="194"/>
      <c r="BPD21" s="194"/>
      <c r="BPE21" s="195"/>
      <c r="BPF21" s="195"/>
      <c r="BPG21" s="196"/>
      <c r="BPH21" s="195"/>
      <c r="BPI21" s="197"/>
      <c r="BPJ21" s="198"/>
      <c r="BPK21" s="199"/>
      <c r="BPL21" s="194"/>
      <c r="BPM21" s="194"/>
      <c r="BPN21" s="194"/>
      <c r="BPO21" s="195"/>
      <c r="BPP21" s="195"/>
      <c r="BPQ21" s="196"/>
      <c r="BPR21" s="195"/>
      <c r="BPS21" s="197"/>
      <c r="BPT21" s="198"/>
      <c r="BPU21" s="199"/>
      <c r="BPV21" s="194"/>
      <c r="BPW21" s="194"/>
      <c r="BPX21" s="194"/>
      <c r="BPY21" s="195"/>
      <c r="BPZ21" s="195"/>
      <c r="BQA21" s="196"/>
      <c r="BQB21" s="195"/>
      <c r="BQC21" s="197"/>
      <c r="BQD21" s="198"/>
      <c r="BQE21" s="199"/>
      <c r="BQF21" s="194"/>
      <c r="BQG21" s="194"/>
      <c r="BQH21" s="194"/>
      <c r="BQI21" s="195"/>
      <c r="BQJ21" s="195"/>
      <c r="BQK21" s="196"/>
      <c r="BQL21" s="195"/>
      <c r="BQM21" s="197"/>
      <c r="BQN21" s="198"/>
      <c r="BQO21" s="199"/>
      <c r="BQP21" s="194"/>
      <c r="BQQ21" s="194"/>
      <c r="BQR21" s="194"/>
      <c r="BQS21" s="195"/>
      <c r="BQT21" s="195"/>
      <c r="BQU21" s="196"/>
      <c r="BQV21" s="195"/>
      <c r="BQW21" s="197"/>
      <c r="BQX21" s="198"/>
      <c r="BQY21" s="199"/>
      <c r="BQZ21" s="194"/>
      <c r="BRA21" s="194"/>
      <c r="BRB21" s="194"/>
      <c r="BRC21" s="195"/>
      <c r="BRD21" s="195"/>
      <c r="BRE21" s="196"/>
      <c r="BRF21" s="195"/>
      <c r="BRG21" s="197"/>
      <c r="BRH21" s="198"/>
      <c r="BRI21" s="199"/>
      <c r="BRJ21" s="194"/>
      <c r="BRK21" s="194"/>
      <c r="BRL21" s="194"/>
      <c r="BRM21" s="195"/>
      <c r="BRN21" s="195"/>
      <c r="BRO21" s="196"/>
      <c r="BRP21" s="195"/>
      <c r="BRQ21" s="197"/>
      <c r="BRR21" s="198"/>
      <c r="BRS21" s="199"/>
      <c r="BRT21" s="194"/>
      <c r="BRU21" s="194"/>
      <c r="BRV21" s="194"/>
      <c r="BRW21" s="195"/>
      <c r="BRX21" s="195"/>
      <c r="BRY21" s="196"/>
      <c r="BRZ21" s="195"/>
      <c r="BSA21" s="197"/>
      <c r="BSB21" s="198"/>
      <c r="BSC21" s="199"/>
      <c r="BSD21" s="194"/>
      <c r="BSE21" s="194"/>
      <c r="BSF21" s="194"/>
      <c r="BSG21" s="195"/>
      <c r="BSH21" s="195"/>
      <c r="BSI21" s="196"/>
      <c r="BSJ21" s="195"/>
      <c r="BSK21" s="197"/>
      <c r="BSL21" s="198"/>
      <c r="BSM21" s="199"/>
      <c r="BSN21" s="194"/>
      <c r="BSO21" s="194"/>
      <c r="BSP21" s="194"/>
      <c r="BSQ21" s="195"/>
      <c r="BSR21" s="195"/>
      <c r="BSS21" s="196"/>
      <c r="BST21" s="195"/>
      <c r="BSU21" s="197"/>
      <c r="BSV21" s="198"/>
      <c r="BSW21" s="199"/>
      <c r="BSX21" s="194"/>
      <c r="BSY21" s="194"/>
      <c r="BSZ21" s="194"/>
      <c r="BTA21" s="195"/>
      <c r="BTB21" s="195"/>
      <c r="BTC21" s="196"/>
      <c r="BTD21" s="195"/>
      <c r="BTE21" s="197"/>
      <c r="BTF21" s="198"/>
      <c r="BTG21" s="199"/>
      <c r="BTH21" s="194"/>
      <c r="BTI21" s="194"/>
      <c r="BTJ21" s="194"/>
      <c r="BTK21" s="195"/>
      <c r="BTL21" s="195"/>
      <c r="BTM21" s="196"/>
      <c r="BTN21" s="195"/>
      <c r="BTO21" s="197"/>
      <c r="BTP21" s="198"/>
      <c r="BTQ21" s="199"/>
      <c r="BTR21" s="194"/>
      <c r="BTS21" s="194"/>
      <c r="BTT21" s="194"/>
      <c r="BTU21" s="195"/>
      <c r="BTV21" s="195"/>
      <c r="BTW21" s="196"/>
      <c r="BTX21" s="195"/>
      <c r="BTY21" s="197"/>
      <c r="BTZ21" s="198"/>
      <c r="BUA21" s="199"/>
      <c r="BUB21" s="194"/>
      <c r="BUC21" s="194"/>
      <c r="BUD21" s="194"/>
      <c r="BUE21" s="195"/>
      <c r="BUF21" s="195"/>
      <c r="BUG21" s="196"/>
      <c r="BUH21" s="195"/>
      <c r="BUI21" s="197"/>
      <c r="BUJ21" s="198"/>
      <c r="BUK21" s="199"/>
      <c r="BUL21" s="194"/>
      <c r="BUM21" s="194"/>
      <c r="BUN21" s="194"/>
      <c r="BUO21" s="195"/>
      <c r="BUP21" s="195"/>
      <c r="BUQ21" s="196"/>
      <c r="BUR21" s="195"/>
      <c r="BUS21" s="197"/>
      <c r="BUT21" s="198"/>
      <c r="BUU21" s="199"/>
      <c r="BUV21" s="194"/>
      <c r="BUW21" s="194"/>
      <c r="BUX21" s="194"/>
      <c r="BUY21" s="195"/>
      <c r="BUZ21" s="195"/>
      <c r="BVA21" s="196"/>
      <c r="BVB21" s="195"/>
      <c r="BVC21" s="197"/>
      <c r="BVD21" s="198"/>
      <c r="BVE21" s="199"/>
      <c r="BVF21" s="194"/>
      <c r="BVG21" s="194"/>
      <c r="BVH21" s="194"/>
      <c r="BVI21" s="195"/>
      <c r="BVJ21" s="195"/>
      <c r="BVK21" s="196"/>
      <c r="BVL21" s="195"/>
      <c r="BVM21" s="197"/>
      <c r="BVN21" s="198"/>
      <c r="BVO21" s="199"/>
      <c r="BVP21" s="194"/>
      <c r="BVQ21" s="194"/>
      <c r="BVR21" s="194"/>
      <c r="BVS21" s="195"/>
      <c r="BVT21" s="195"/>
      <c r="BVU21" s="196"/>
      <c r="BVV21" s="195"/>
      <c r="BVW21" s="197"/>
      <c r="BVX21" s="198"/>
      <c r="BVY21" s="199"/>
      <c r="BVZ21" s="194"/>
      <c r="BWA21" s="194"/>
      <c r="BWB21" s="194"/>
      <c r="BWC21" s="195"/>
      <c r="BWD21" s="195"/>
      <c r="BWE21" s="196"/>
      <c r="BWF21" s="195"/>
      <c r="BWG21" s="197"/>
      <c r="BWH21" s="198"/>
      <c r="BWI21" s="199"/>
      <c r="BWJ21" s="194"/>
      <c r="BWK21" s="194"/>
      <c r="BWL21" s="194"/>
      <c r="BWM21" s="195"/>
      <c r="BWN21" s="195"/>
      <c r="BWO21" s="196"/>
      <c r="BWP21" s="195"/>
      <c r="BWQ21" s="197"/>
      <c r="BWR21" s="198"/>
      <c r="BWS21" s="199"/>
      <c r="BWT21" s="194"/>
      <c r="BWU21" s="194"/>
      <c r="BWV21" s="194"/>
      <c r="BWW21" s="195"/>
      <c r="BWX21" s="195"/>
      <c r="BWY21" s="196"/>
      <c r="BWZ21" s="195"/>
      <c r="BXA21" s="197"/>
      <c r="BXB21" s="198"/>
      <c r="BXC21" s="199"/>
      <c r="BXD21" s="194"/>
      <c r="BXE21" s="194"/>
      <c r="BXF21" s="194"/>
      <c r="BXG21" s="195"/>
      <c r="BXH21" s="195"/>
      <c r="BXI21" s="196"/>
      <c r="BXJ21" s="195"/>
      <c r="BXK21" s="197"/>
      <c r="BXL21" s="198"/>
      <c r="BXM21" s="199"/>
      <c r="BXN21" s="194"/>
      <c r="BXO21" s="194"/>
      <c r="BXP21" s="194"/>
      <c r="BXQ21" s="195"/>
      <c r="BXR21" s="195"/>
      <c r="BXS21" s="196"/>
      <c r="BXT21" s="195"/>
      <c r="BXU21" s="197"/>
      <c r="BXV21" s="198"/>
      <c r="BXW21" s="199"/>
      <c r="BXX21" s="194"/>
      <c r="BXY21" s="194"/>
      <c r="BXZ21" s="194"/>
      <c r="BYA21" s="195"/>
      <c r="BYB21" s="195"/>
      <c r="BYC21" s="196"/>
      <c r="BYD21" s="195"/>
      <c r="BYE21" s="197"/>
      <c r="BYF21" s="198"/>
      <c r="BYG21" s="199"/>
      <c r="BYH21" s="194"/>
      <c r="BYI21" s="194"/>
      <c r="BYJ21" s="194"/>
      <c r="BYK21" s="195"/>
      <c r="BYL21" s="195"/>
      <c r="BYM21" s="196"/>
      <c r="BYN21" s="195"/>
      <c r="BYO21" s="197"/>
      <c r="BYP21" s="198"/>
      <c r="BYQ21" s="199"/>
      <c r="BYR21" s="194"/>
      <c r="BYS21" s="194"/>
      <c r="BYT21" s="194"/>
      <c r="BYU21" s="195"/>
      <c r="BYV21" s="195"/>
      <c r="BYW21" s="196"/>
      <c r="BYX21" s="195"/>
      <c r="BYY21" s="197"/>
      <c r="BYZ21" s="198"/>
      <c r="BZA21" s="199"/>
      <c r="BZB21" s="194"/>
      <c r="BZC21" s="194"/>
      <c r="BZD21" s="194"/>
      <c r="BZE21" s="195"/>
      <c r="BZF21" s="195"/>
      <c r="BZG21" s="196"/>
      <c r="BZH21" s="195"/>
      <c r="BZI21" s="197"/>
      <c r="BZJ21" s="198"/>
      <c r="BZK21" s="199"/>
      <c r="BZL21" s="194"/>
      <c r="BZM21" s="194"/>
      <c r="BZN21" s="194"/>
      <c r="BZO21" s="195"/>
      <c r="BZP21" s="195"/>
      <c r="BZQ21" s="196"/>
      <c r="BZR21" s="195"/>
      <c r="BZS21" s="197"/>
      <c r="BZT21" s="198"/>
      <c r="BZU21" s="199"/>
      <c r="BZV21" s="194"/>
      <c r="BZW21" s="194"/>
      <c r="BZX21" s="194"/>
      <c r="BZY21" s="195"/>
      <c r="BZZ21" s="195"/>
      <c r="CAA21" s="196"/>
      <c r="CAB21" s="195"/>
      <c r="CAC21" s="197"/>
      <c r="CAD21" s="198"/>
      <c r="CAE21" s="199"/>
      <c r="CAF21" s="194"/>
      <c r="CAG21" s="194"/>
      <c r="CAH21" s="194"/>
      <c r="CAI21" s="195"/>
      <c r="CAJ21" s="195"/>
      <c r="CAK21" s="196"/>
      <c r="CAL21" s="195"/>
      <c r="CAM21" s="197"/>
      <c r="CAN21" s="198"/>
      <c r="CAO21" s="199"/>
      <c r="CAP21" s="194"/>
      <c r="CAQ21" s="194"/>
      <c r="CAR21" s="194"/>
      <c r="CAS21" s="195"/>
      <c r="CAT21" s="195"/>
      <c r="CAU21" s="196"/>
      <c r="CAV21" s="195"/>
      <c r="CAW21" s="197"/>
      <c r="CAX21" s="198"/>
      <c r="CAY21" s="199"/>
      <c r="CAZ21" s="194"/>
      <c r="CBA21" s="194"/>
      <c r="CBB21" s="194"/>
      <c r="CBC21" s="195"/>
      <c r="CBD21" s="195"/>
      <c r="CBE21" s="196"/>
      <c r="CBF21" s="195"/>
      <c r="CBG21" s="197"/>
      <c r="CBH21" s="198"/>
      <c r="CBI21" s="199"/>
      <c r="CBJ21" s="194"/>
      <c r="CBK21" s="194"/>
      <c r="CBL21" s="194"/>
      <c r="CBM21" s="195"/>
      <c r="CBN21" s="195"/>
      <c r="CBO21" s="196"/>
      <c r="CBP21" s="195"/>
      <c r="CBQ21" s="197"/>
      <c r="CBR21" s="198"/>
      <c r="CBS21" s="199"/>
      <c r="CBT21" s="194"/>
      <c r="CBU21" s="194"/>
      <c r="CBV21" s="194"/>
      <c r="CBW21" s="195"/>
      <c r="CBX21" s="195"/>
      <c r="CBY21" s="196"/>
      <c r="CBZ21" s="195"/>
      <c r="CCA21" s="197"/>
      <c r="CCB21" s="198"/>
      <c r="CCC21" s="199"/>
      <c r="CCD21" s="194"/>
      <c r="CCE21" s="194"/>
      <c r="CCF21" s="194"/>
      <c r="CCG21" s="195"/>
      <c r="CCH21" s="195"/>
      <c r="CCI21" s="196"/>
      <c r="CCJ21" s="195"/>
      <c r="CCK21" s="197"/>
      <c r="CCL21" s="198"/>
      <c r="CCM21" s="199"/>
      <c r="CCN21" s="194"/>
      <c r="CCO21" s="194"/>
      <c r="CCP21" s="194"/>
      <c r="CCQ21" s="195"/>
      <c r="CCR21" s="195"/>
      <c r="CCS21" s="196"/>
      <c r="CCT21" s="195"/>
      <c r="CCU21" s="197"/>
      <c r="CCV21" s="198"/>
      <c r="CCW21" s="199"/>
      <c r="CCX21" s="194"/>
      <c r="CCY21" s="194"/>
      <c r="CCZ21" s="194"/>
      <c r="CDA21" s="195"/>
      <c r="CDB21" s="195"/>
      <c r="CDC21" s="196"/>
      <c r="CDD21" s="195"/>
      <c r="CDE21" s="197"/>
      <c r="CDF21" s="198"/>
      <c r="CDG21" s="199"/>
      <c r="CDH21" s="194"/>
      <c r="CDI21" s="194"/>
      <c r="CDJ21" s="194"/>
      <c r="CDK21" s="195"/>
      <c r="CDL21" s="195"/>
      <c r="CDM21" s="196"/>
      <c r="CDN21" s="195"/>
      <c r="CDO21" s="197"/>
      <c r="CDP21" s="198"/>
      <c r="CDQ21" s="199"/>
      <c r="CDR21" s="194"/>
      <c r="CDS21" s="194"/>
      <c r="CDT21" s="194"/>
      <c r="CDU21" s="195"/>
      <c r="CDV21" s="195"/>
      <c r="CDW21" s="196"/>
      <c r="CDX21" s="195"/>
      <c r="CDY21" s="197"/>
      <c r="CDZ21" s="198"/>
      <c r="CEA21" s="199"/>
      <c r="CEB21" s="194"/>
      <c r="CEC21" s="194"/>
      <c r="CED21" s="194"/>
      <c r="CEE21" s="195"/>
      <c r="CEF21" s="195"/>
      <c r="CEG21" s="196"/>
      <c r="CEH21" s="195"/>
      <c r="CEI21" s="197"/>
      <c r="CEJ21" s="198"/>
      <c r="CEK21" s="199"/>
      <c r="CEL21" s="194"/>
      <c r="CEM21" s="194"/>
      <c r="CEN21" s="194"/>
      <c r="CEO21" s="195"/>
      <c r="CEP21" s="195"/>
      <c r="CEQ21" s="196"/>
      <c r="CER21" s="195"/>
      <c r="CES21" s="197"/>
      <c r="CET21" s="198"/>
      <c r="CEU21" s="199"/>
      <c r="CEV21" s="194"/>
      <c r="CEW21" s="194"/>
      <c r="CEX21" s="194"/>
      <c r="CEY21" s="195"/>
      <c r="CEZ21" s="195"/>
      <c r="CFA21" s="196"/>
      <c r="CFB21" s="195"/>
      <c r="CFC21" s="197"/>
      <c r="CFD21" s="198"/>
      <c r="CFE21" s="199"/>
      <c r="CFF21" s="194"/>
      <c r="CFG21" s="194"/>
      <c r="CFH21" s="194"/>
      <c r="CFI21" s="195"/>
      <c r="CFJ21" s="195"/>
      <c r="CFK21" s="196"/>
      <c r="CFL21" s="195"/>
      <c r="CFM21" s="197"/>
      <c r="CFN21" s="198"/>
      <c r="CFO21" s="199"/>
      <c r="CFP21" s="194"/>
      <c r="CFQ21" s="194"/>
      <c r="CFR21" s="194"/>
      <c r="CFS21" s="195"/>
      <c r="CFT21" s="195"/>
      <c r="CFU21" s="196"/>
      <c r="CFV21" s="195"/>
      <c r="CFW21" s="197"/>
      <c r="CFX21" s="198"/>
      <c r="CFY21" s="199"/>
      <c r="CFZ21" s="194"/>
      <c r="CGA21" s="194"/>
      <c r="CGB21" s="194"/>
      <c r="CGC21" s="195"/>
      <c r="CGD21" s="195"/>
      <c r="CGE21" s="196"/>
      <c r="CGF21" s="195"/>
      <c r="CGG21" s="197"/>
      <c r="CGH21" s="198"/>
      <c r="CGI21" s="199"/>
      <c r="CGJ21" s="194"/>
      <c r="CGK21" s="194"/>
      <c r="CGL21" s="194"/>
      <c r="CGM21" s="195"/>
      <c r="CGN21" s="195"/>
      <c r="CGO21" s="196"/>
      <c r="CGP21" s="195"/>
      <c r="CGQ21" s="197"/>
      <c r="CGR21" s="198"/>
      <c r="CGS21" s="199"/>
      <c r="CGT21" s="194"/>
      <c r="CGU21" s="194"/>
      <c r="CGV21" s="194"/>
      <c r="CGW21" s="195"/>
      <c r="CGX21" s="195"/>
      <c r="CGY21" s="196"/>
      <c r="CGZ21" s="195"/>
      <c r="CHA21" s="197"/>
      <c r="CHB21" s="198"/>
      <c r="CHC21" s="199"/>
      <c r="CHD21" s="194"/>
      <c r="CHE21" s="194"/>
      <c r="CHF21" s="194"/>
      <c r="CHG21" s="195"/>
      <c r="CHH21" s="195"/>
      <c r="CHI21" s="196"/>
      <c r="CHJ21" s="195"/>
      <c r="CHK21" s="197"/>
      <c r="CHL21" s="198"/>
      <c r="CHM21" s="199"/>
      <c r="CHN21" s="194"/>
      <c r="CHO21" s="194"/>
      <c r="CHP21" s="194"/>
      <c r="CHQ21" s="195"/>
      <c r="CHR21" s="195"/>
      <c r="CHS21" s="196"/>
      <c r="CHT21" s="195"/>
      <c r="CHU21" s="197"/>
      <c r="CHV21" s="198"/>
      <c r="CHW21" s="199"/>
      <c r="CHX21" s="194"/>
      <c r="CHY21" s="194"/>
      <c r="CHZ21" s="194"/>
      <c r="CIA21" s="195"/>
      <c r="CIB21" s="195"/>
      <c r="CIC21" s="196"/>
      <c r="CID21" s="195"/>
      <c r="CIE21" s="197"/>
      <c r="CIF21" s="198"/>
      <c r="CIG21" s="199"/>
      <c r="CIH21" s="194"/>
      <c r="CII21" s="194"/>
      <c r="CIJ21" s="194"/>
      <c r="CIK21" s="195"/>
      <c r="CIL21" s="195"/>
      <c r="CIM21" s="196"/>
      <c r="CIN21" s="195"/>
      <c r="CIO21" s="197"/>
      <c r="CIP21" s="198"/>
      <c r="CIQ21" s="199"/>
      <c r="CIR21" s="194"/>
      <c r="CIS21" s="194"/>
      <c r="CIT21" s="194"/>
      <c r="CIU21" s="195"/>
      <c r="CIV21" s="195"/>
      <c r="CIW21" s="196"/>
      <c r="CIX21" s="195"/>
      <c r="CIY21" s="197"/>
      <c r="CIZ21" s="198"/>
      <c r="CJA21" s="199"/>
      <c r="CJB21" s="194"/>
      <c r="CJC21" s="194"/>
      <c r="CJD21" s="194"/>
      <c r="CJE21" s="195"/>
      <c r="CJF21" s="195"/>
      <c r="CJG21" s="196"/>
      <c r="CJH21" s="195"/>
      <c r="CJI21" s="197"/>
      <c r="CJJ21" s="198"/>
      <c r="CJK21" s="199"/>
      <c r="CJL21" s="194"/>
      <c r="CJM21" s="194"/>
      <c r="CJN21" s="194"/>
      <c r="CJO21" s="195"/>
      <c r="CJP21" s="195"/>
      <c r="CJQ21" s="196"/>
      <c r="CJR21" s="195"/>
      <c r="CJS21" s="197"/>
      <c r="CJT21" s="198"/>
      <c r="CJU21" s="199"/>
      <c r="CJV21" s="194"/>
      <c r="CJW21" s="194"/>
      <c r="CJX21" s="194"/>
      <c r="CJY21" s="195"/>
      <c r="CJZ21" s="195"/>
      <c r="CKA21" s="196"/>
      <c r="CKB21" s="195"/>
      <c r="CKC21" s="197"/>
      <c r="CKD21" s="198"/>
      <c r="CKE21" s="199"/>
      <c r="CKF21" s="194"/>
      <c r="CKG21" s="194"/>
      <c r="CKH21" s="194"/>
      <c r="CKI21" s="195"/>
      <c r="CKJ21" s="195"/>
      <c r="CKK21" s="196"/>
      <c r="CKL21" s="195"/>
      <c r="CKM21" s="197"/>
      <c r="CKN21" s="198"/>
      <c r="CKO21" s="199"/>
      <c r="CKP21" s="194"/>
      <c r="CKQ21" s="194"/>
      <c r="CKR21" s="194"/>
      <c r="CKS21" s="195"/>
      <c r="CKT21" s="195"/>
      <c r="CKU21" s="196"/>
      <c r="CKV21" s="195"/>
      <c r="CKW21" s="197"/>
      <c r="CKX21" s="198"/>
      <c r="CKY21" s="199"/>
      <c r="CKZ21" s="194"/>
      <c r="CLA21" s="194"/>
      <c r="CLB21" s="194"/>
      <c r="CLC21" s="195"/>
      <c r="CLD21" s="195"/>
      <c r="CLE21" s="196"/>
      <c r="CLF21" s="195"/>
      <c r="CLG21" s="197"/>
      <c r="CLH21" s="198"/>
      <c r="CLI21" s="199"/>
      <c r="CLJ21" s="194"/>
      <c r="CLK21" s="194"/>
      <c r="CLL21" s="194"/>
      <c r="CLM21" s="195"/>
      <c r="CLN21" s="195"/>
      <c r="CLO21" s="196"/>
      <c r="CLP21" s="195"/>
      <c r="CLQ21" s="197"/>
      <c r="CLR21" s="198"/>
      <c r="CLS21" s="199"/>
      <c r="CLT21" s="194"/>
      <c r="CLU21" s="194"/>
      <c r="CLV21" s="194"/>
      <c r="CLW21" s="195"/>
      <c r="CLX21" s="195"/>
      <c r="CLY21" s="196"/>
      <c r="CLZ21" s="195"/>
      <c r="CMA21" s="197"/>
      <c r="CMB21" s="198"/>
      <c r="CMC21" s="199"/>
      <c r="CMD21" s="194"/>
      <c r="CME21" s="194"/>
      <c r="CMF21" s="194"/>
      <c r="CMG21" s="195"/>
      <c r="CMH21" s="195"/>
      <c r="CMI21" s="196"/>
      <c r="CMJ21" s="195"/>
      <c r="CMK21" s="197"/>
      <c r="CML21" s="198"/>
      <c r="CMM21" s="199"/>
      <c r="CMN21" s="194"/>
      <c r="CMO21" s="194"/>
      <c r="CMP21" s="194"/>
      <c r="CMQ21" s="195"/>
      <c r="CMR21" s="195"/>
      <c r="CMS21" s="196"/>
      <c r="CMT21" s="195"/>
      <c r="CMU21" s="197"/>
      <c r="CMV21" s="198"/>
      <c r="CMW21" s="199"/>
      <c r="CMX21" s="194"/>
      <c r="CMY21" s="194"/>
      <c r="CMZ21" s="194"/>
      <c r="CNA21" s="195"/>
      <c r="CNB21" s="195"/>
      <c r="CNC21" s="196"/>
      <c r="CND21" s="195"/>
      <c r="CNE21" s="197"/>
      <c r="CNF21" s="198"/>
      <c r="CNG21" s="199"/>
      <c r="CNH21" s="194"/>
      <c r="CNI21" s="194"/>
      <c r="CNJ21" s="194"/>
      <c r="CNK21" s="195"/>
      <c r="CNL21" s="195"/>
      <c r="CNM21" s="196"/>
      <c r="CNN21" s="195"/>
      <c r="CNO21" s="197"/>
      <c r="CNP21" s="198"/>
      <c r="CNQ21" s="199"/>
      <c r="CNR21" s="194"/>
      <c r="CNS21" s="194"/>
      <c r="CNT21" s="194"/>
      <c r="CNU21" s="195"/>
      <c r="CNV21" s="195"/>
      <c r="CNW21" s="196"/>
      <c r="CNX21" s="195"/>
      <c r="CNY21" s="197"/>
      <c r="CNZ21" s="198"/>
      <c r="COA21" s="199"/>
      <c r="COB21" s="194"/>
      <c r="COC21" s="194"/>
      <c r="COD21" s="194"/>
      <c r="COE21" s="195"/>
      <c r="COF21" s="195"/>
      <c r="COG21" s="196"/>
      <c r="COH21" s="195"/>
      <c r="COI21" s="197"/>
      <c r="COJ21" s="198"/>
      <c r="COK21" s="199"/>
      <c r="COL21" s="194"/>
      <c r="COM21" s="194"/>
      <c r="CON21" s="194"/>
      <c r="COO21" s="195"/>
      <c r="COP21" s="195"/>
      <c r="COQ21" s="196"/>
      <c r="COR21" s="195"/>
      <c r="COS21" s="197"/>
      <c r="COT21" s="198"/>
      <c r="COU21" s="199"/>
      <c r="COV21" s="194"/>
      <c r="COW21" s="194"/>
      <c r="COX21" s="194"/>
      <c r="COY21" s="195"/>
      <c r="COZ21" s="195"/>
      <c r="CPA21" s="196"/>
      <c r="CPB21" s="195"/>
      <c r="CPC21" s="197"/>
      <c r="CPD21" s="198"/>
      <c r="CPE21" s="199"/>
      <c r="CPF21" s="194"/>
      <c r="CPG21" s="194"/>
      <c r="CPH21" s="194"/>
      <c r="CPI21" s="195"/>
      <c r="CPJ21" s="195"/>
      <c r="CPK21" s="196"/>
      <c r="CPL21" s="195"/>
      <c r="CPM21" s="197"/>
      <c r="CPN21" s="198"/>
      <c r="CPO21" s="199"/>
      <c r="CPP21" s="194"/>
      <c r="CPQ21" s="194"/>
      <c r="CPR21" s="194"/>
      <c r="CPS21" s="195"/>
      <c r="CPT21" s="195"/>
      <c r="CPU21" s="196"/>
      <c r="CPV21" s="195"/>
      <c r="CPW21" s="197"/>
      <c r="CPX21" s="198"/>
      <c r="CPY21" s="199"/>
      <c r="CPZ21" s="194"/>
      <c r="CQA21" s="194"/>
      <c r="CQB21" s="194"/>
      <c r="CQC21" s="195"/>
      <c r="CQD21" s="195"/>
      <c r="CQE21" s="196"/>
      <c r="CQF21" s="195"/>
      <c r="CQG21" s="197"/>
      <c r="CQH21" s="198"/>
      <c r="CQI21" s="199"/>
      <c r="CQJ21" s="194"/>
      <c r="CQK21" s="194"/>
      <c r="CQL21" s="194"/>
      <c r="CQM21" s="195"/>
      <c r="CQN21" s="195"/>
      <c r="CQO21" s="196"/>
      <c r="CQP21" s="195"/>
      <c r="CQQ21" s="197"/>
      <c r="CQR21" s="198"/>
      <c r="CQS21" s="199"/>
      <c r="CQT21" s="194"/>
      <c r="CQU21" s="194"/>
      <c r="CQV21" s="194"/>
      <c r="CQW21" s="195"/>
      <c r="CQX21" s="195"/>
      <c r="CQY21" s="196"/>
      <c r="CQZ21" s="195"/>
      <c r="CRA21" s="197"/>
      <c r="CRB21" s="198"/>
      <c r="CRC21" s="199"/>
      <c r="CRD21" s="194"/>
      <c r="CRE21" s="194"/>
      <c r="CRF21" s="194"/>
      <c r="CRG21" s="195"/>
      <c r="CRH21" s="195"/>
      <c r="CRI21" s="196"/>
      <c r="CRJ21" s="195"/>
      <c r="CRK21" s="197"/>
      <c r="CRL21" s="198"/>
      <c r="CRM21" s="199"/>
      <c r="CRN21" s="194"/>
      <c r="CRO21" s="194"/>
      <c r="CRP21" s="194"/>
      <c r="CRQ21" s="195"/>
      <c r="CRR21" s="195"/>
      <c r="CRS21" s="196"/>
      <c r="CRT21" s="195"/>
      <c r="CRU21" s="197"/>
      <c r="CRV21" s="198"/>
      <c r="CRW21" s="199"/>
      <c r="CRX21" s="194"/>
      <c r="CRY21" s="194"/>
      <c r="CRZ21" s="194"/>
      <c r="CSA21" s="195"/>
      <c r="CSB21" s="195"/>
      <c r="CSC21" s="196"/>
      <c r="CSD21" s="195"/>
      <c r="CSE21" s="197"/>
      <c r="CSF21" s="198"/>
      <c r="CSG21" s="199"/>
      <c r="CSH21" s="194"/>
      <c r="CSI21" s="194"/>
      <c r="CSJ21" s="194"/>
      <c r="CSK21" s="195"/>
      <c r="CSL21" s="195"/>
      <c r="CSM21" s="196"/>
      <c r="CSN21" s="195"/>
      <c r="CSO21" s="197"/>
      <c r="CSP21" s="198"/>
      <c r="CSQ21" s="199"/>
      <c r="CSR21" s="194"/>
      <c r="CSS21" s="194"/>
      <c r="CST21" s="194"/>
      <c r="CSU21" s="195"/>
      <c r="CSV21" s="195"/>
      <c r="CSW21" s="196"/>
      <c r="CSX21" s="195"/>
      <c r="CSY21" s="197"/>
      <c r="CSZ21" s="198"/>
      <c r="CTA21" s="199"/>
      <c r="CTB21" s="194"/>
      <c r="CTC21" s="194"/>
      <c r="CTD21" s="194"/>
      <c r="CTE21" s="195"/>
      <c r="CTF21" s="195"/>
      <c r="CTG21" s="196"/>
      <c r="CTH21" s="195"/>
      <c r="CTI21" s="197"/>
      <c r="CTJ21" s="198"/>
      <c r="CTK21" s="199"/>
      <c r="CTL21" s="194"/>
      <c r="CTM21" s="194"/>
      <c r="CTN21" s="194"/>
      <c r="CTO21" s="195"/>
      <c r="CTP21" s="195"/>
      <c r="CTQ21" s="196"/>
      <c r="CTR21" s="195"/>
      <c r="CTS21" s="197"/>
      <c r="CTT21" s="198"/>
      <c r="CTU21" s="199"/>
      <c r="CTV21" s="194"/>
      <c r="CTW21" s="194"/>
      <c r="CTX21" s="194"/>
      <c r="CTY21" s="195"/>
      <c r="CTZ21" s="195"/>
      <c r="CUA21" s="196"/>
      <c r="CUB21" s="195"/>
      <c r="CUC21" s="197"/>
      <c r="CUD21" s="198"/>
      <c r="CUE21" s="199"/>
      <c r="CUF21" s="194"/>
      <c r="CUG21" s="194"/>
      <c r="CUH21" s="194"/>
      <c r="CUI21" s="195"/>
      <c r="CUJ21" s="195"/>
      <c r="CUK21" s="196"/>
      <c r="CUL21" s="195"/>
      <c r="CUM21" s="197"/>
      <c r="CUN21" s="198"/>
      <c r="CUO21" s="199"/>
      <c r="CUP21" s="194"/>
      <c r="CUQ21" s="194"/>
      <c r="CUR21" s="194"/>
      <c r="CUS21" s="195"/>
      <c r="CUT21" s="195"/>
      <c r="CUU21" s="196"/>
      <c r="CUV21" s="195"/>
      <c r="CUW21" s="197"/>
      <c r="CUX21" s="198"/>
      <c r="CUY21" s="199"/>
      <c r="CUZ21" s="194"/>
      <c r="CVA21" s="194"/>
      <c r="CVB21" s="194"/>
      <c r="CVC21" s="195"/>
      <c r="CVD21" s="195"/>
      <c r="CVE21" s="196"/>
      <c r="CVF21" s="195"/>
      <c r="CVG21" s="197"/>
      <c r="CVH21" s="198"/>
      <c r="CVI21" s="199"/>
      <c r="CVJ21" s="194"/>
      <c r="CVK21" s="194"/>
      <c r="CVL21" s="194"/>
      <c r="CVM21" s="195"/>
      <c r="CVN21" s="195"/>
      <c r="CVO21" s="196"/>
      <c r="CVP21" s="195"/>
      <c r="CVQ21" s="197"/>
      <c r="CVR21" s="198"/>
      <c r="CVS21" s="199"/>
      <c r="CVT21" s="194"/>
      <c r="CVU21" s="194"/>
      <c r="CVV21" s="194"/>
      <c r="CVW21" s="195"/>
      <c r="CVX21" s="195"/>
      <c r="CVY21" s="196"/>
      <c r="CVZ21" s="195"/>
      <c r="CWA21" s="197"/>
      <c r="CWB21" s="198"/>
      <c r="CWC21" s="199"/>
      <c r="CWD21" s="194"/>
      <c r="CWE21" s="194"/>
      <c r="CWF21" s="194"/>
      <c r="CWG21" s="195"/>
      <c r="CWH21" s="195"/>
      <c r="CWI21" s="196"/>
      <c r="CWJ21" s="195"/>
      <c r="CWK21" s="197"/>
      <c r="CWL21" s="198"/>
      <c r="CWM21" s="199"/>
      <c r="CWN21" s="194"/>
      <c r="CWO21" s="194"/>
      <c r="CWP21" s="194"/>
      <c r="CWQ21" s="195"/>
      <c r="CWR21" s="195"/>
      <c r="CWS21" s="196"/>
      <c r="CWT21" s="195"/>
      <c r="CWU21" s="197"/>
      <c r="CWV21" s="198"/>
      <c r="CWW21" s="199"/>
      <c r="CWX21" s="194"/>
      <c r="CWY21" s="194"/>
      <c r="CWZ21" s="194"/>
      <c r="CXA21" s="195"/>
      <c r="CXB21" s="195"/>
      <c r="CXC21" s="196"/>
      <c r="CXD21" s="195"/>
      <c r="CXE21" s="197"/>
      <c r="CXF21" s="198"/>
      <c r="CXG21" s="199"/>
      <c r="CXH21" s="194"/>
      <c r="CXI21" s="194"/>
      <c r="CXJ21" s="194"/>
      <c r="CXK21" s="195"/>
      <c r="CXL21" s="195"/>
      <c r="CXM21" s="196"/>
      <c r="CXN21" s="195"/>
      <c r="CXO21" s="197"/>
      <c r="CXP21" s="198"/>
      <c r="CXQ21" s="199"/>
      <c r="CXR21" s="194"/>
      <c r="CXS21" s="194"/>
      <c r="CXT21" s="194"/>
      <c r="CXU21" s="195"/>
      <c r="CXV21" s="195"/>
      <c r="CXW21" s="196"/>
      <c r="CXX21" s="195"/>
      <c r="CXY21" s="197"/>
      <c r="CXZ21" s="198"/>
      <c r="CYA21" s="199"/>
      <c r="CYB21" s="194"/>
      <c r="CYC21" s="194"/>
      <c r="CYD21" s="194"/>
      <c r="CYE21" s="195"/>
      <c r="CYF21" s="195"/>
      <c r="CYG21" s="196"/>
      <c r="CYH21" s="195"/>
      <c r="CYI21" s="197"/>
      <c r="CYJ21" s="198"/>
      <c r="CYK21" s="199"/>
      <c r="CYL21" s="194"/>
      <c r="CYM21" s="194"/>
      <c r="CYN21" s="194"/>
      <c r="CYO21" s="195"/>
      <c r="CYP21" s="195"/>
      <c r="CYQ21" s="196"/>
      <c r="CYR21" s="195"/>
      <c r="CYS21" s="197"/>
      <c r="CYT21" s="198"/>
      <c r="CYU21" s="199"/>
      <c r="CYV21" s="194"/>
      <c r="CYW21" s="194"/>
      <c r="CYX21" s="194"/>
      <c r="CYY21" s="195"/>
      <c r="CYZ21" s="195"/>
      <c r="CZA21" s="196"/>
      <c r="CZB21" s="195"/>
      <c r="CZC21" s="197"/>
      <c r="CZD21" s="198"/>
      <c r="CZE21" s="199"/>
      <c r="CZF21" s="194"/>
      <c r="CZG21" s="194"/>
      <c r="CZH21" s="194"/>
      <c r="CZI21" s="195"/>
      <c r="CZJ21" s="195"/>
      <c r="CZK21" s="196"/>
      <c r="CZL21" s="195"/>
      <c r="CZM21" s="197"/>
      <c r="CZN21" s="198"/>
      <c r="CZO21" s="199"/>
      <c r="CZP21" s="194"/>
      <c r="CZQ21" s="194"/>
      <c r="CZR21" s="194"/>
      <c r="CZS21" s="195"/>
      <c r="CZT21" s="195"/>
      <c r="CZU21" s="196"/>
      <c r="CZV21" s="195"/>
      <c r="CZW21" s="197"/>
      <c r="CZX21" s="198"/>
      <c r="CZY21" s="199"/>
      <c r="CZZ21" s="194"/>
      <c r="DAA21" s="194"/>
      <c r="DAB21" s="194"/>
      <c r="DAC21" s="195"/>
      <c r="DAD21" s="195"/>
      <c r="DAE21" s="196"/>
      <c r="DAF21" s="195"/>
      <c r="DAG21" s="197"/>
      <c r="DAH21" s="198"/>
      <c r="DAI21" s="199"/>
      <c r="DAJ21" s="194"/>
      <c r="DAK21" s="194"/>
      <c r="DAL21" s="194"/>
      <c r="DAM21" s="195"/>
      <c r="DAN21" s="195"/>
      <c r="DAO21" s="196"/>
      <c r="DAP21" s="195"/>
      <c r="DAQ21" s="197"/>
      <c r="DAR21" s="198"/>
      <c r="DAS21" s="199"/>
      <c r="DAT21" s="194"/>
      <c r="DAU21" s="194"/>
      <c r="DAV21" s="194"/>
      <c r="DAW21" s="195"/>
      <c r="DAX21" s="195"/>
      <c r="DAY21" s="196"/>
      <c r="DAZ21" s="195"/>
      <c r="DBA21" s="197"/>
      <c r="DBB21" s="198"/>
      <c r="DBC21" s="199"/>
      <c r="DBD21" s="194"/>
      <c r="DBE21" s="194"/>
      <c r="DBF21" s="194"/>
      <c r="DBG21" s="195"/>
      <c r="DBH21" s="195"/>
      <c r="DBI21" s="196"/>
      <c r="DBJ21" s="195"/>
      <c r="DBK21" s="197"/>
      <c r="DBL21" s="198"/>
      <c r="DBM21" s="199"/>
      <c r="DBN21" s="194"/>
      <c r="DBO21" s="194"/>
      <c r="DBP21" s="194"/>
      <c r="DBQ21" s="195"/>
      <c r="DBR21" s="195"/>
      <c r="DBS21" s="196"/>
      <c r="DBT21" s="195"/>
      <c r="DBU21" s="197"/>
      <c r="DBV21" s="198"/>
      <c r="DBW21" s="199"/>
      <c r="DBX21" s="194"/>
      <c r="DBY21" s="194"/>
      <c r="DBZ21" s="194"/>
      <c r="DCA21" s="195"/>
      <c r="DCB21" s="195"/>
      <c r="DCC21" s="196"/>
      <c r="DCD21" s="195"/>
      <c r="DCE21" s="197"/>
      <c r="DCF21" s="198"/>
      <c r="DCG21" s="199"/>
      <c r="DCH21" s="194"/>
      <c r="DCI21" s="194"/>
      <c r="DCJ21" s="194"/>
      <c r="DCK21" s="195"/>
      <c r="DCL21" s="195"/>
      <c r="DCM21" s="196"/>
      <c r="DCN21" s="195"/>
      <c r="DCO21" s="197"/>
      <c r="DCP21" s="198"/>
      <c r="DCQ21" s="199"/>
      <c r="DCR21" s="194"/>
      <c r="DCS21" s="194"/>
      <c r="DCT21" s="194"/>
      <c r="DCU21" s="195"/>
      <c r="DCV21" s="195"/>
      <c r="DCW21" s="196"/>
      <c r="DCX21" s="195"/>
      <c r="DCY21" s="197"/>
      <c r="DCZ21" s="198"/>
      <c r="DDA21" s="199"/>
      <c r="DDB21" s="194"/>
      <c r="DDC21" s="194"/>
      <c r="DDD21" s="194"/>
      <c r="DDE21" s="195"/>
      <c r="DDF21" s="195"/>
      <c r="DDG21" s="196"/>
      <c r="DDH21" s="195"/>
      <c r="DDI21" s="197"/>
      <c r="DDJ21" s="198"/>
      <c r="DDK21" s="199"/>
      <c r="DDL21" s="194"/>
      <c r="DDM21" s="194"/>
      <c r="DDN21" s="194"/>
      <c r="DDO21" s="195"/>
      <c r="DDP21" s="195"/>
      <c r="DDQ21" s="196"/>
      <c r="DDR21" s="195"/>
      <c r="DDS21" s="197"/>
      <c r="DDT21" s="198"/>
      <c r="DDU21" s="199"/>
      <c r="DDV21" s="194"/>
      <c r="DDW21" s="194"/>
      <c r="DDX21" s="194"/>
      <c r="DDY21" s="195"/>
      <c r="DDZ21" s="195"/>
      <c r="DEA21" s="196"/>
      <c r="DEB21" s="195"/>
      <c r="DEC21" s="197"/>
      <c r="DED21" s="198"/>
      <c r="DEE21" s="199"/>
      <c r="DEF21" s="194"/>
      <c r="DEG21" s="194"/>
      <c r="DEH21" s="194"/>
      <c r="DEI21" s="195"/>
      <c r="DEJ21" s="195"/>
      <c r="DEK21" s="196"/>
      <c r="DEL21" s="195"/>
      <c r="DEM21" s="197"/>
      <c r="DEN21" s="198"/>
      <c r="DEO21" s="199"/>
      <c r="DEP21" s="194"/>
      <c r="DEQ21" s="194"/>
      <c r="DER21" s="194"/>
      <c r="DES21" s="195"/>
      <c r="DET21" s="195"/>
      <c r="DEU21" s="196"/>
      <c r="DEV21" s="195"/>
      <c r="DEW21" s="197"/>
      <c r="DEX21" s="198"/>
      <c r="DEY21" s="199"/>
      <c r="DEZ21" s="194"/>
      <c r="DFA21" s="194"/>
      <c r="DFB21" s="194"/>
      <c r="DFC21" s="195"/>
      <c r="DFD21" s="195"/>
      <c r="DFE21" s="196"/>
      <c r="DFF21" s="195"/>
      <c r="DFG21" s="197"/>
      <c r="DFH21" s="198"/>
      <c r="DFI21" s="199"/>
      <c r="DFJ21" s="194"/>
      <c r="DFK21" s="194"/>
      <c r="DFL21" s="194"/>
      <c r="DFM21" s="195"/>
      <c r="DFN21" s="195"/>
      <c r="DFO21" s="196"/>
      <c r="DFP21" s="195"/>
      <c r="DFQ21" s="197"/>
      <c r="DFR21" s="198"/>
      <c r="DFS21" s="199"/>
      <c r="DFT21" s="194"/>
      <c r="DFU21" s="194"/>
      <c r="DFV21" s="194"/>
      <c r="DFW21" s="195"/>
      <c r="DFX21" s="195"/>
      <c r="DFY21" s="196"/>
      <c r="DFZ21" s="195"/>
      <c r="DGA21" s="197"/>
      <c r="DGB21" s="198"/>
      <c r="DGC21" s="199"/>
      <c r="DGD21" s="194"/>
      <c r="DGE21" s="194"/>
      <c r="DGF21" s="194"/>
      <c r="DGG21" s="195"/>
      <c r="DGH21" s="195"/>
      <c r="DGI21" s="196"/>
      <c r="DGJ21" s="195"/>
      <c r="DGK21" s="197"/>
      <c r="DGL21" s="198"/>
      <c r="DGM21" s="199"/>
      <c r="DGN21" s="194"/>
      <c r="DGO21" s="194"/>
      <c r="DGP21" s="194"/>
      <c r="DGQ21" s="195"/>
      <c r="DGR21" s="195"/>
      <c r="DGS21" s="196"/>
      <c r="DGT21" s="195"/>
      <c r="DGU21" s="197"/>
      <c r="DGV21" s="198"/>
      <c r="DGW21" s="199"/>
      <c r="DGX21" s="194"/>
      <c r="DGY21" s="194"/>
      <c r="DGZ21" s="194"/>
      <c r="DHA21" s="195"/>
      <c r="DHB21" s="195"/>
      <c r="DHC21" s="196"/>
      <c r="DHD21" s="195"/>
      <c r="DHE21" s="197"/>
      <c r="DHF21" s="198"/>
      <c r="DHG21" s="199"/>
      <c r="DHH21" s="194"/>
      <c r="DHI21" s="194"/>
      <c r="DHJ21" s="194"/>
      <c r="DHK21" s="195"/>
      <c r="DHL21" s="195"/>
      <c r="DHM21" s="196"/>
      <c r="DHN21" s="195"/>
      <c r="DHO21" s="197"/>
      <c r="DHP21" s="198"/>
      <c r="DHQ21" s="199"/>
      <c r="DHR21" s="194"/>
      <c r="DHS21" s="194"/>
      <c r="DHT21" s="194"/>
      <c r="DHU21" s="195"/>
      <c r="DHV21" s="195"/>
      <c r="DHW21" s="196"/>
      <c r="DHX21" s="195"/>
      <c r="DHY21" s="197"/>
      <c r="DHZ21" s="198"/>
      <c r="DIA21" s="199"/>
      <c r="DIB21" s="194"/>
      <c r="DIC21" s="194"/>
      <c r="DID21" s="194"/>
      <c r="DIE21" s="195"/>
      <c r="DIF21" s="195"/>
      <c r="DIG21" s="196"/>
      <c r="DIH21" s="195"/>
      <c r="DII21" s="197"/>
      <c r="DIJ21" s="198"/>
      <c r="DIK21" s="199"/>
      <c r="DIL21" s="194"/>
      <c r="DIM21" s="194"/>
      <c r="DIN21" s="194"/>
      <c r="DIO21" s="195"/>
      <c r="DIP21" s="195"/>
      <c r="DIQ21" s="196"/>
      <c r="DIR21" s="195"/>
      <c r="DIS21" s="197"/>
      <c r="DIT21" s="198"/>
      <c r="DIU21" s="199"/>
      <c r="DIV21" s="194"/>
      <c r="DIW21" s="194"/>
      <c r="DIX21" s="194"/>
      <c r="DIY21" s="195"/>
      <c r="DIZ21" s="195"/>
      <c r="DJA21" s="196"/>
      <c r="DJB21" s="195"/>
      <c r="DJC21" s="197"/>
      <c r="DJD21" s="198"/>
      <c r="DJE21" s="199"/>
      <c r="DJF21" s="194"/>
      <c r="DJG21" s="194"/>
      <c r="DJH21" s="194"/>
      <c r="DJI21" s="195"/>
      <c r="DJJ21" s="195"/>
      <c r="DJK21" s="196"/>
      <c r="DJL21" s="195"/>
      <c r="DJM21" s="197"/>
      <c r="DJN21" s="198"/>
      <c r="DJO21" s="199"/>
      <c r="DJP21" s="194"/>
      <c r="DJQ21" s="194"/>
      <c r="DJR21" s="194"/>
      <c r="DJS21" s="195"/>
      <c r="DJT21" s="195"/>
      <c r="DJU21" s="196"/>
      <c r="DJV21" s="195"/>
      <c r="DJW21" s="197"/>
      <c r="DJX21" s="198"/>
      <c r="DJY21" s="199"/>
      <c r="DJZ21" s="194"/>
      <c r="DKA21" s="194"/>
      <c r="DKB21" s="194"/>
      <c r="DKC21" s="195"/>
      <c r="DKD21" s="195"/>
      <c r="DKE21" s="196"/>
      <c r="DKF21" s="195"/>
      <c r="DKG21" s="197"/>
      <c r="DKH21" s="198"/>
      <c r="DKI21" s="199"/>
      <c r="DKJ21" s="194"/>
      <c r="DKK21" s="194"/>
      <c r="DKL21" s="194"/>
      <c r="DKM21" s="195"/>
      <c r="DKN21" s="195"/>
      <c r="DKO21" s="196"/>
      <c r="DKP21" s="195"/>
      <c r="DKQ21" s="197"/>
      <c r="DKR21" s="198"/>
      <c r="DKS21" s="199"/>
      <c r="DKT21" s="194"/>
      <c r="DKU21" s="194"/>
      <c r="DKV21" s="194"/>
      <c r="DKW21" s="195"/>
      <c r="DKX21" s="195"/>
      <c r="DKY21" s="196"/>
      <c r="DKZ21" s="195"/>
      <c r="DLA21" s="197"/>
      <c r="DLB21" s="198"/>
      <c r="DLC21" s="199"/>
      <c r="DLD21" s="194"/>
      <c r="DLE21" s="194"/>
      <c r="DLF21" s="194"/>
      <c r="DLG21" s="195"/>
      <c r="DLH21" s="195"/>
      <c r="DLI21" s="196"/>
      <c r="DLJ21" s="195"/>
      <c r="DLK21" s="197"/>
      <c r="DLL21" s="198"/>
      <c r="DLM21" s="199"/>
      <c r="DLN21" s="194"/>
      <c r="DLO21" s="194"/>
      <c r="DLP21" s="194"/>
      <c r="DLQ21" s="195"/>
      <c r="DLR21" s="195"/>
      <c r="DLS21" s="196"/>
      <c r="DLT21" s="195"/>
      <c r="DLU21" s="197"/>
      <c r="DLV21" s="198"/>
      <c r="DLW21" s="199"/>
      <c r="DLX21" s="194"/>
      <c r="DLY21" s="194"/>
      <c r="DLZ21" s="194"/>
      <c r="DMA21" s="195"/>
      <c r="DMB21" s="195"/>
      <c r="DMC21" s="196"/>
      <c r="DMD21" s="195"/>
      <c r="DME21" s="197"/>
      <c r="DMF21" s="198"/>
      <c r="DMG21" s="199"/>
      <c r="DMH21" s="194"/>
      <c r="DMI21" s="194"/>
      <c r="DMJ21" s="194"/>
      <c r="DMK21" s="195"/>
      <c r="DML21" s="195"/>
      <c r="DMM21" s="196"/>
      <c r="DMN21" s="195"/>
      <c r="DMO21" s="197"/>
      <c r="DMP21" s="198"/>
      <c r="DMQ21" s="199"/>
      <c r="DMR21" s="194"/>
      <c r="DMS21" s="194"/>
      <c r="DMT21" s="194"/>
      <c r="DMU21" s="195"/>
      <c r="DMV21" s="195"/>
      <c r="DMW21" s="196"/>
      <c r="DMX21" s="195"/>
      <c r="DMY21" s="197"/>
      <c r="DMZ21" s="198"/>
      <c r="DNA21" s="199"/>
      <c r="DNB21" s="194"/>
      <c r="DNC21" s="194"/>
      <c r="DND21" s="194"/>
      <c r="DNE21" s="195"/>
      <c r="DNF21" s="195"/>
      <c r="DNG21" s="196"/>
      <c r="DNH21" s="195"/>
      <c r="DNI21" s="197"/>
      <c r="DNJ21" s="198"/>
      <c r="DNK21" s="199"/>
      <c r="DNL21" s="194"/>
      <c r="DNM21" s="194"/>
      <c r="DNN21" s="194"/>
      <c r="DNO21" s="195"/>
      <c r="DNP21" s="195"/>
      <c r="DNQ21" s="196"/>
      <c r="DNR21" s="195"/>
      <c r="DNS21" s="197"/>
      <c r="DNT21" s="198"/>
      <c r="DNU21" s="199"/>
      <c r="DNV21" s="194"/>
      <c r="DNW21" s="194"/>
      <c r="DNX21" s="194"/>
      <c r="DNY21" s="195"/>
      <c r="DNZ21" s="195"/>
      <c r="DOA21" s="196"/>
      <c r="DOB21" s="195"/>
      <c r="DOC21" s="197"/>
      <c r="DOD21" s="198"/>
      <c r="DOE21" s="199"/>
      <c r="DOF21" s="194"/>
      <c r="DOG21" s="194"/>
      <c r="DOH21" s="194"/>
      <c r="DOI21" s="195"/>
      <c r="DOJ21" s="195"/>
      <c r="DOK21" s="196"/>
      <c r="DOL21" s="195"/>
      <c r="DOM21" s="197"/>
      <c r="DON21" s="198"/>
      <c r="DOO21" s="199"/>
      <c r="DOP21" s="194"/>
      <c r="DOQ21" s="194"/>
      <c r="DOR21" s="194"/>
      <c r="DOS21" s="195"/>
      <c r="DOT21" s="195"/>
      <c r="DOU21" s="196"/>
      <c r="DOV21" s="195"/>
      <c r="DOW21" s="197"/>
      <c r="DOX21" s="198"/>
      <c r="DOY21" s="199"/>
      <c r="DOZ21" s="194"/>
      <c r="DPA21" s="194"/>
      <c r="DPB21" s="194"/>
      <c r="DPC21" s="195"/>
      <c r="DPD21" s="195"/>
      <c r="DPE21" s="196"/>
      <c r="DPF21" s="195"/>
      <c r="DPG21" s="197"/>
      <c r="DPH21" s="198"/>
      <c r="DPI21" s="199"/>
      <c r="DPJ21" s="194"/>
      <c r="DPK21" s="194"/>
      <c r="DPL21" s="194"/>
      <c r="DPM21" s="195"/>
      <c r="DPN21" s="195"/>
      <c r="DPO21" s="196"/>
      <c r="DPP21" s="195"/>
      <c r="DPQ21" s="197"/>
      <c r="DPR21" s="198"/>
      <c r="DPS21" s="199"/>
      <c r="DPT21" s="194"/>
      <c r="DPU21" s="194"/>
      <c r="DPV21" s="194"/>
      <c r="DPW21" s="195"/>
      <c r="DPX21" s="195"/>
      <c r="DPY21" s="196"/>
      <c r="DPZ21" s="195"/>
      <c r="DQA21" s="197"/>
      <c r="DQB21" s="198"/>
      <c r="DQC21" s="199"/>
      <c r="DQD21" s="194"/>
      <c r="DQE21" s="194"/>
      <c r="DQF21" s="194"/>
      <c r="DQG21" s="195"/>
      <c r="DQH21" s="195"/>
      <c r="DQI21" s="196"/>
      <c r="DQJ21" s="195"/>
      <c r="DQK21" s="197"/>
      <c r="DQL21" s="198"/>
      <c r="DQM21" s="199"/>
      <c r="DQN21" s="194"/>
      <c r="DQO21" s="194"/>
      <c r="DQP21" s="194"/>
      <c r="DQQ21" s="195"/>
      <c r="DQR21" s="195"/>
      <c r="DQS21" s="196"/>
      <c r="DQT21" s="195"/>
      <c r="DQU21" s="197"/>
      <c r="DQV21" s="198"/>
      <c r="DQW21" s="199"/>
      <c r="DQX21" s="194"/>
      <c r="DQY21" s="194"/>
      <c r="DQZ21" s="194"/>
      <c r="DRA21" s="195"/>
      <c r="DRB21" s="195"/>
      <c r="DRC21" s="196"/>
      <c r="DRD21" s="195"/>
      <c r="DRE21" s="197"/>
      <c r="DRF21" s="198"/>
      <c r="DRG21" s="199"/>
      <c r="DRH21" s="194"/>
      <c r="DRI21" s="194"/>
      <c r="DRJ21" s="194"/>
      <c r="DRK21" s="195"/>
      <c r="DRL21" s="195"/>
      <c r="DRM21" s="196"/>
      <c r="DRN21" s="195"/>
      <c r="DRO21" s="197"/>
      <c r="DRP21" s="198"/>
      <c r="DRQ21" s="199"/>
      <c r="DRR21" s="194"/>
      <c r="DRS21" s="194"/>
      <c r="DRT21" s="194"/>
      <c r="DRU21" s="195"/>
      <c r="DRV21" s="195"/>
      <c r="DRW21" s="196"/>
      <c r="DRX21" s="195"/>
      <c r="DRY21" s="197"/>
      <c r="DRZ21" s="198"/>
      <c r="DSA21" s="199"/>
      <c r="DSB21" s="194"/>
      <c r="DSC21" s="194"/>
      <c r="DSD21" s="194"/>
      <c r="DSE21" s="195"/>
      <c r="DSF21" s="195"/>
      <c r="DSG21" s="196"/>
      <c r="DSH21" s="195"/>
      <c r="DSI21" s="197"/>
      <c r="DSJ21" s="198"/>
      <c r="DSK21" s="199"/>
      <c r="DSL21" s="194"/>
      <c r="DSM21" s="194"/>
      <c r="DSN21" s="194"/>
      <c r="DSO21" s="195"/>
      <c r="DSP21" s="195"/>
      <c r="DSQ21" s="196"/>
      <c r="DSR21" s="195"/>
      <c r="DSS21" s="197"/>
      <c r="DST21" s="198"/>
      <c r="DSU21" s="199"/>
      <c r="DSV21" s="194"/>
      <c r="DSW21" s="194"/>
      <c r="DSX21" s="194"/>
      <c r="DSY21" s="195"/>
      <c r="DSZ21" s="195"/>
      <c r="DTA21" s="196"/>
      <c r="DTB21" s="195"/>
      <c r="DTC21" s="197"/>
      <c r="DTD21" s="198"/>
      <c r="DTE21" s="199"/>
      <c r="DTF21" s="194"/>
      <c r="DTG21" s="194"/>
      <c r="DTH21" s="194"/>
      <c r="DTI21" s="195"/>
      <c r="DTJ21" s="195"/>
      <c r="DTK21" s="196"/>
      <c r="DTL21" s="195"/>
      <c r="DTM21" s="197"/>
      <c r="DTN21" s="198"/>
      <c r="DTO21" s="199"/>
      <c r="DTP21" s="194"/>
      <c r="DTQ21" s="194"/>
      <c r="DTR21" s="194"/>
      <c r="DTS21" s="195"/>
      <c r="DTT21" s="195"/>
      <c r="DTU21" s="196"/>
      <c r="DTV21" s="195"/>
      <c r="DTW21" s="197"/>
      <c r="DTX21" s="198"/>
      <c r="DTY21" s="199"/>
      <c r="DTZ21" s="194"/>
      <c r="DUA21" s="194"/>
      <c r="DUB21" s="194"/>
      <c r="DUC21" s="195"/>
      <c r="DUD21" s="195"/>
      <c r="DUE21" s="196"/>
      <c r="DUF21" s="195"/>
      <c r="DUG21" s="197"/>
      <c r="DUH21" s="198"/>
      <c r="DUI21" s="199"/>
      <c r="DUJ21" s="194"/>
      <c r="DUK21" s="194"/>
      <c r="DUL21" s="194"/>
      <c r="DUM21" s="195"/>
      <c r="DUN21" s="195"/>
      <c r="DUO21" s="196"/>
      <c r="DUP21" s="195"/>
      <c r="DUQ21" s="197"/>
      <c r="DUR21" s="198"/>
      <c r="DUS21" s="199"/>
      <c r="DUT21" s="194"/>
      <c r="DUU21" s="194"/>
      <c r="DUV21" s="194"/>
      <c r="DUW21" s="195"/>
      <c r="DUX21" s="195"/>
      <c r="DUY21" s="196"/>
      <c r="DUZ21" s="195"/>
      <c r="DVA21" s="197"/>
      <c r="DVB21" s="198"/>
      <c r="DVC21" s="199"/>
      <c r="DVD21" s="194"/>
      <c r="DVE21" s="194"/>
      <c r="DVF21" s="194"/>
      <c r="DVG21" s="195"/>
      <c r="DVH21" s="195"/>
      <c r="DVI21" s="196"/>
      <c r="DVJ21" s="195"/>
      <c r="DVK21" s="197"/>
      <c r="DVL21" s="198"/>
      <c r="DVM21" s="199"/>
      <c r="DVN21" s="194"/>
      <c r="DVO21" s="194"/>
      <c r="DVP21" s="194"/>
      <c r="DVQ21" s="195"/>
      <c r="DVR21" s="195"/>
      <c r="DVS21" s="196"/>
      <c r="DVT21" s="195"/>
      <c r="DVU21" s="197"/>
      <c r="DVV21" s="198"/>
      <c r="DVW21" s="199"/>
      <c r="DVX21" s="194"/>
      <c r="DVY21" s="194"/>
      <c r="DVZ21" s="194"/>
      <c r="DWA21" s="195"/>
      <c r="DWB21" s="195"/>
      <c r="DWC21" s="196"/>
      <c r="DWD21" s="195"/>
      <c r="DWE21" s="197"/>
      <c r="DWF21" s="198"/>
      <c r="DWG21" s="199"/>
      <c r="DWH21" s="194"/>
      <c r="DWI21" s="194"/>
      <c r="DWJ21" s="194"/>
      <c r="DWK21" s="195"/>
      <c r="DWL21" s="195"/>
      <c r="DWM21" s="196"/>
      <c r="DWN21" s="195"/>
      <c r="DWO21" s="197"/>
      <c r="DWP21" s="198"/>
      <c r="DWQ21" s="199"/>
      <c r="DWR21" s="194"/>
      <c r="DWS21" s="194"/>
      <c r="DWT21" s="194"/>
      <c r="DWU21" s="195"/>
      <c r="DWV21" s="195"/>
      <c r="DWW21" s="196"/>
      <c r="DWX21" s="195"/>
      <c r="DWY21" s="197"/>
      <c r="DWZ21" s="198"/>
      <c r="DXA21" s="199"/>
      <c r="DXB21" s="194"/>
      <c r="DXC21" s="194"/>
      <c r="DXD21" s="194"/>
      <c r="DXE21" s="195"/>
      <c r="DXF21" s="195"/>
      <c r="DXG21" s="196"/>
      <c r="DXH21" s="195"/>
      <c r="DXI21" s="197"/>
      <c r="DXJ21" s="198"/>
      <c r="DXK21" s="199"/>
      <c r="DXL21" s="194"/>
      <c r="DXM21" s="194"/>
      <c r="DXN21" s="194"/>
      <c r="DXO21" s="195"/>
      <c r="DXP21" s="195"/>
      <c r="DXQ21" s="196"/>
      <c r="DXR21" s="195"/>
      <c r="DXS21" s="197"/>
      <c r="DXT21" s="198"/>
      <c r="DXU21" s="199"/>
      <c r="DXV21" s="194"/>
      <c r="DXW21" s="194"/>
      <c r="DXX21" s="194"/>
      <c r="DXY21" s="195"/>
      <c r="DXZ21" s="195"/>
      <c r="DYA21" s="196"/>
      <c r="DYB21" s="195"/>
      <c r="DYC21" s="197"/>
      <c r="DYD21" s="198"/>
      <c r="DYE21" s="199"/>
      <c r="DYF21" s="194"/>
      <c r="DYG21" s="194"/>
      <c r="DYH21" s="194"/>
      <c r="DYI21" s="195"/>
      <c r="DYJ21" s="195"/>
      <c r="DYK21" s="196"/>
      <c r="DYL21" s="195"/>
      <c r="DYM21" s="197"/>
      <c r="DYN21" s="198"/>
      <c r="DYO21" s="199"/>
      <c r="DYP21" s="194"/>
      <c r="DYQ21" s="194"/>
      <c r="DYR21" s="194"/>
      <c r="DYS21" s="195"/>
      <c r="DYT21" s="195"/>
      <c r="DYU21" s="196"/>
      <c r="DYV21" s="195"/>
      <c r="DYW21" s="197"/>
      <c r="DYX21" s="198"/>
      <c r="DYY21" s="199"/>
      <c r="DYZ21" s="194"/>
      <c r="DZA21" s="194"/>
      <c r="DZB21" s="194"/>
      <c r="DZC21" s="195"/>
      <c r="DZD21" s="195"/>
      <c r="DZE21" s="196"/>
      <c r="DZF21" s="195"/>
      <c r="DZG21" s="197"/>
      <c r="DZH21" s="198"/>
      <c r="DZI21" s="199"/>
      <c r="DZJ21" s="194"/>
      <c r="DZK21" s="194"/>
      <c r="DZL21" s="194"/>
      <c r="DZM21" s="195"/>
      <c r="DZN21" s="195"/>
      <c r="DZO21" s="196"/>
      <c r="DZP21" s="195"/>
      <c r="DZQ21" s="197"/>
      <c r="DZR21" s="198"/>
      <c r="DZS21" s="199"/>
      <c r="DZT21" s="194"/>
      <c r="DZU21" s="194"/>
      <c r="DZV21" s="194"/>
      <c r="DZW21" s="195"/>
      <c r="DZX21" s="195"/>
      <c r="DZY21" s="196"/>
      <c r="DZZ21" s="195"/>
      <c r="EAA21" s="197"/>
      <c r="EAB21" s="198"/>
      <c r="EAC21" s="199"/>
      <c r="EAD21" s="194"/>
      <c r="EAE21" s="194"/>
      <c r="EAF21" s="194"/>
      <c r="EAG21" s="195"/>
      <c r="EAH21" s="195"/>
      <c r="EAI21" s="196"/>
      <c r="EAJ21" s="195"/>
      <c r="EAK21" s="197"/>
      <c r="EAL21" s="198"/>
      <c r="EAM21" s="199"/>
      <c r="EAN21" s="194"/>
      <c r="EAO21" s="194"/>
      <c r="EAP21" s="194"/>
      <c r="EAQ21" s="195"/>
      <c r="EAR21" s="195"/>
      <c r="EAS21" s="196"/>
      <c r="EAT21" s="195"/>
      <c r="EAU21" s="197"/>
      <c r="EAV21" s="198"/>
      <c r="EAW21" s="199"/>
      <c r="EAX21" s="194"/>
      <c r="EAY21" s="194"/>
      <c r="EAZ21" s="194"/>
      <c r="EBA21" s="195"/>
      <c r="EBB21" s="195"/>
      <c r="EBC21" s="196"/>
      <c r="EBD21" s="195"/>
      <c r="EBE21" s="197"/>
      <c r="EBF21" s="198"/>
      <c r="EBG21" s="199"/>
      <c r="EBH21" s="194"/>
      <c r="EBI21" s="194"/>
      <c r="EBJ21" s="194"/>
      <c r="EBK21" s="195"/>
      <c r="EBL21" s="195"/>
      <c r="EBM21" s="196"/>
      <c r="EBN21" s="195"/>
      <c r="EBO21" s="197"/>
      <c r="EBP21" s="198"/>
      <c r="EBQ21" s="199"/>
      <c r="EBR21" s="194"/>
      <c r="EBS21" s="194"/>
      <c r="EBT21" s="194"/>
      <c r="EBU21" s="195"/>
      <c r="EBV21" s="195"/>
      <c r="EBW21" s="196"/>
      <c r="EBX21" s="195"/>
      <c r="EBY21" s="197"/>
      <c r="EBZ21" s="198"/>
      <c r="ECA21" s="199"/>
      <c r="ECB21" s="194"/>
      <c r="ECC21" s="194"/>
      <c r="ECD21" s="194"/>
      <c r="ECE21" s="195"/>
      <c r="ECF21" s="195"/>
      <c r="ECG21" s="196"/>
      <c r="ECH21" s="195"/>
      <c r="ECI21" s="197"/>
      <c r="ECJ21" s="198"/>
      <c r="ECK21" s="199"/>
      <c r="ECL21" s="194"/>
      <c r="ECM21" s="194"/>
      <c r="ECN21" s="194"/>
      <c r="ECO21" s="195"/>
      <c r="ECP21" s="195"/>
      <c r="ECQ21" s="196"/>
      <c r="ECR21" s="195"/>
      <c r="ECS21" s="197"/>
      <c r="ECT21" s="198"/>
      <c r="ECU21" s="199"/>
      <c r="ECV21" s="194"/>
      <c r="ECW21" s="194"/>
      <c r="ECX21" s="194"/>
      <c r="ECY21" s="195"/>
      <c r="ECZ21" s="195"/>
      <c r="EDA21" s="196"/>
      <c r="EDB21" s="195"/>
      <c r="EDC21" s="197"/>
      <c r="EDD21" s="198"/>
      <c r="EDE21" s="199"/>
      <c r="EDF21" s="194"/>
      <c r="EDG21" s="194"/>
      <c r="EDH21" s="194"/>
      <c r="EDI21" s="195"/>
      <c r="EDJ21" s="195"/>
      <c r="EDK21" s="196"/>
      <c r="EDL21" s="195"/>
      <c r="EDM21" s="197"/>
      <c r="EDN21" s="198"/>
      <c r="EDO21" s="199"/>
      <c r="EDP21" s="194"/>
      <c r="EDQ21" s="194"/>
      <c r="EDR21" s="194"/>
      <c r="EDS21" s="195"/>
      <c r="EDT21" s="195"/>
      <c r="EDU21" s="196"/>
      <c r="EDV21" s="195"/>
      <c r="EDW21" s="197"/>
      <c r="EDX21" s="198"/>
      <c r="EDY21" s="199"/>
      <c r="EDZ21" s="194"/>
      <c r="EEA21" s="194"/>
      <c r="EEB21" s="194"/>
      <c r="EEC21" s="195"/>
      <c r="EED21" s="195"/>
      <c r="EEE21" s="196"/>
      <c r="EEF21" s="195"/>
      <c r="EEG21" s="197"/>
      <c r="EEH21" s="198"/>
      <c r="EEI21" s="199"/>
      <c r="EEJ21" s="194"/>
      <c r="EEK21" s="194"/>
      <c r="EEL21" s="194"/>
      <c r="EEM21" s="195"/>
      <c r="EEN21" s="195"/>
      <c r="EEO21" s="196"/>
      <c r="EEP21" s="195"/>
      <c r="EEQ21" s="197"/>
      <c r="EER21" s="198"/>
      <c r="EES21" s="199"/>
      <c r="EET21" s="194"/>
      <c r="EEU21" s="194"/>
      <c r="EEV21" s="194"/>
      <c r="EEW21" s="195"/>
      <c r="EEX21" s="195"/>
      <c r="EEY21" s="196"/>
      <c r="EEZ21" s="195"/>
      <c r="EFA21" s="197"/>
      <c r="EFB21" s="198"/>
      <c r="EFC21" s="199"/>
      <c r="EFD21" s="194"/>
      <c r="EFE21" s="194"/>
      <c r="EFF21" s="194"/>
      <c r="EFG21" s="195"/>
      <c r="EFH21" s="195"/>
      <c r="EFI21" s="196"/>
      <c r="EFJ21" s="195"/>
      <c r="EFK21" s="197"/>
      <c r="EFL21" s="198"/>
      <c r="EFM21" s="199"/>
      <c r="EFN21" s="194"/>
      <c r="EFO21" s="194"/>
      <c r="EFP21" s="194"/>
      <c r="EFQ21" s="195"/>
      <c r="EFR21" s="195"/>
      <c r="EFS21" s="196"/>
      <c r="EFT21" s="195"/>
      <c r="EFU21" s="197"/>
      <c r="EFV21" s="198"/>
      <c r="EFW21" s="199"/>
      <c r="EFX21" s="194"/>
      <c r="EFY21" s="194"/>
      <c r="EFZ21" s="194"/>
      <c r="EGA21" s="195"/>
      <c r="EGB21" s="195"/>
      <c r="EGC21" s="196"/>
      <c r="EGD21" s="195"/>
      <c r="EGE21" s="197"/>
      <c r="EGF21" s="198"/>
      <c r="EGG21" s="199"/>
      <c r="EGH21" s="194"/>
      <c r="EGI21" s="194"/>
      <c r="EGJ21" s="194"/>
      <c r="EGK21" s="195"/>
      <c r="EGL21" s="195"/>
      <c r="EGM21" s="196"/>
      <c r="EGN21" s="195"/>
      <c r="EGO21" s="197"/>
      <c r="EGP21" s="198"/>
      <c r="EGQ21" s="199"/>
      <c r="EGR21" s="194"/>
      <c r="EGS21" s="194"/>
      <c r="EGT21" s="194"/>
      <c r="EGU21" s="195"/>
      <c r="EGV21" s="195"/>
      <c r="EGW21" s="196"/>
      <c r="EGX21" s="195"/>
      <c r="EGY21" s="197"/>
      <c r="EGZ21" s="198"/>
      <c r="EHA21" s="199"/>
      <c r="EHB21" s="194"/>
      <c r="EHC21" s="194"/>
      <c r="EHD21" s="194"/>
      <c r="EHE21" s="195"/>
      <c r="EHF21" s="195"/>
      <c r="EHG21" s="196"/>
      <c r="EHH21" s="195"/>
      <c r="EHI21" s="197"/>
      <c r="EHJ21" s="198"/>
      <c r="EHK21" s="199"/>
      <c r="EHL21" s="194"/>
      <c r="EHM21" s="194"/>
      <c r="EHN21" s="194"/>
      <c r="EHO21" s="195"/>
      <c r="EHP21" s="195"/>
      <c r="EHQ21" s="196"/>
      <c r="EHR21" s="195"/>
      <c r="EHS21" s="197"/>
      <c r="EHT21" s="198"/>
      <c r="EHU21" s="199"/>
      <c r="EHV21" s="194"/>
      <c r="EHW21" s="194"/>
      <c r="EHX21" s="194"/>
      <c r="EHY21" s="195"/>
      <c r="EHZ21" s="195"/>
      <c r="EIA21" s="196"/>
      <c r="EIB21" s="195"/>
      <c r="EIC21" s="197"/>
      <c r="EID21" s="198"/>
      <c r="EIE21" s="199"/>
      <c r="EIF21" s="194"/>
      <c r="EIG21" s="194"/>
      <c r="EIH21" s="194"/>
      <c r="EII21" s="195"/>
      <c r="EIJ21" s="195"/>
      <c r="EIK21" s="196"/>
      <c r="EIL21" s="195"/>
      <c r="EIM21" s="197"/>
      <c r="EIN21" s="198"/>
      <c r="EIO21" s="199"/>
      <c r="EIP21" s="194"/>
      <c r="EIQ21" s="194"/>
      <c r="EIR21" s="194"/>
      <c r="EIS21" s="195"/>
      <c r="EIT21" s="195"/>
      <c r="EIU21" s="196"/>
      <c r="EIV21" s="195"/>
      <c r="EIW21" s="197"/>
      <c r="EIX21" s="198"/>
      <c r="EIY21" s="199"/>
      <c r="EIZ21" s="194"/>
      <c r="EJA21" s="194"/>
      <c r="EJB21" s="194"/>
      <c r="EJC21" s="195"/>
      <c r="EJD21" s="195"/>
      <c r="EJE21" s="196"/>
      <c r="EJF21" s="195"/>
      <c r="EJG21" s="197"/>
      <c r="EJH21" s="198"/>
      <c r="EJI21" s="199"/>
      <c r="EJJ21" s="194"/>
      <c r="EJK21" s="194"/>
      <c r="EJL21" s="194"/>
      <c r="EJM21" s="195"/>
      <c r="EJN21" s="195"/>
      <c r="EJO21" s="196"/>
      <c r="EJP21" s="195"/>
      <c r="EJQ21" s="197"/>
      <c r="EJR21" s="198"/>
      <c r="EJS21" s="199"/>
      <c r="EJT21" s="194"/>
      <c r="EJU21" s="194"/>
      <c r="EJV21" s="194"/>
      <c r="EJW21" s="195"/>
      <c r="EJX21" s="195"/>
      <c r="EJY21" s="196"/>
      <c r="EJZ21" s="195"/>
      <c r="EKA21" s="197"/>
      <c r="EKB21" s="198"/>
      <c r="EKC21" s="199"/>
      <c r="EKD21" s="194"/>
      <c r="EKE21" s="194"/>
      <c r="EKF21" s="194"/>
      <c r="EKG21" s="195"/>
      <c r="EKH21" s="195"/>
      <c r="EKI21" s="196"/>
      <c r="EKJ21" s="195"/>
      <c r="EKK21" s="197"/>
      <c r="EKL21" s="198"/>
      <c r="EKM21" s="199"/>
      <c r="EKN21" s="194"/>
      <c r="EKO21" s="194"/>
      <c r="EKP21" s="194"/>
      <c r="EKQ21" s="195"/>
      <c r="EKR21" s="195"/>
      <c r="EKS21" s="196"/>
      <c r="EKT21" s="195"/>
      <c r="EKU21" s="197"/>
      <c r="EKV21" s="198"/>
      <c r="EKW21" s="199"/>
      <c r="EKX21" s="194"/>
      <c r="EKY21" s="194"/>
      <c r="EKZ21" s="194"/>
      <c r="ELA21" s="195"/>
      <c r="ELB21" s="195"/>
      <c r="ELC21" s="196"/>
      <c r="ELD21" s="195"/>
      <c r="ELE21" s="197"/>
      <c r="ELF21" s="198"/>
      <c r="ELG21" s="199"/>
      <c r="ELH21" s="194"/>
      <c r="ELI21" s="194"/>
      <c r="ELJ21" s="194"/>
      <c r="ELK21" s="195"/>
      <c r="ELL21" s="195"/>
      <c r="ELM21" s="196"/>
      <c r="ELN21" s="195"/>
      <c r="ELO21" s="197"/>
      <c r="ELP21" s="198"/>
      <c r="ELQ21" s="199"/>
      <c r="ELR21" s="194"/>
      <c r="ELS21" s="194"/>
      <c r="ELT21" s="194"/>
      <c r="ELU21" s="195"/>
      <c r="ELV21" s="195"/>
      <c r="ELW21" s="196"/>
      <c r="ELX21" s="195"/>
      <c r="ELY21" s="197"/>
      <c r="ELZ21" s="198"/>
      <c r="EMA21" s="199"/>
      <c r="EMB21" s="194"/>
      <c r="EMC21" s="194"/>
      <c r="EMD21" s="194"/>
      <c r="EME21" s="195"/>
      <c r="EMF21" s="195"/>
      <c r="EMG21" s="196"/>
      <c r="EMH21" s="195"/>
      <c r="EMI21" s="197"/>
      <c r="EMJ21" s="198"/>
      <c r="EMK21" s="199"/>
      <c r="EML21" s="194"/>
      <c r="EMM21" s="194"/>
      <c r="EMN21" s="194"/>
      <c r="EMO21" s="195"/>
      <c r="EMP21" s="195"/>
      <c r="EMQ21" s="196"/>
      <c r="EMR21" s="195"/>
      <c r="EMS21" s="197"/>
      <c r="EMT21" s="198"/>
      <c r="EMU21" s="199"/>
      <c r="EMV21" s="194"/>
      <c r="EMW21" s="194"/>
      <c r="EMX21" s="194"/>
      <c r="EMY21" s="195"/>
      <c r="EMZ21" s="195"/>
      <c r="ENA21" s="196"/>
      <c r="ENB21" s="195"/>
      <c r="ENC21" s="197"/>
      <c r="END21" s="198"/>
      <c r="ENE21" s="199"/>
      <c r="ENF21" s="194"/>
      <c r="ENG21" s="194"/>
      <c r="ENH21" s="194"/>
      <c r="ENI21" s="195"/>
      <c r="ENJ21" s="195"/>
      <c r="ENK21" s="196"/>
      <c r="ENL21" s="195"/>
      <c r="ENM21" s="197"/>
      <c r="ENN21" s="198"/>
      <c r="ENO21" s="199"/>
      <c r="ENP21" s="194"/>
      <c r="ENQ21" s="194"/>
      <c r="ENR21" s="194"/>
      <c r="ENS21" s="195"/>
      <c r="ENT21" s="195"/>
      <c r="ENU21" s="196"/>
      <c r="ENV21" s="195"/>
      <c r="ENW21" s="197"/>
      <c r="ENX21" s="198"/>
      <c r="ENY21" s="199"/>
      <c r="ENZ21" s="194"/>
      <c r="EOA21" s="194"/>
      <c r="EOB21" s="194"/>
      <c r="EOC21" s="195"/>
      <c r="EOD21" s="195"/>
      <c r="EOE21" s="196"/>
      <c r="EOF21" s="195"/>
      <c r="EOG21" s="197"/>
      <c r="EOH21" s="198"/>
      <c r="EOI21" s="199"/>
      <c r="EOJ21" s="194"/>
      <c r="EOK21" s="194"/>
      <c r="EOL21" s="194"/>
      <c r="EOM21" s="195"/>
      <c r="EON21" s="195"/>
      <c r="EOO21" s="196"/>
      <c r="EOP21" s="195"/>
      <c r="EOQ21" s="197"/>
      <c r="EOR21" s="198"/>
      <c r="EOS21" s="199"/>
      <c r="EOT21" s="194"/>
      <c r="EOU21" s="194"/>
      <c r="EOV21" s="194"/>
      <c r="EOW21" s="195"/>
      <c r="EOX21" s="195"/>
      <c r="EOY21" s="196"/>
      <c r="EOZ21" s="195"/>
      <c r="EPA21" s="197"/>
      <c r="EPB21" s="198"/>
      <c r="EPC21" s="199"/>
      <c r="EPD21" s="194"/>
      <c r="EPE21" s="194"/>
      <c r="EPF21" s="194"/>
      <c r="EPG21" s="195"/>
      <c r="EPH21" s="195"/>
      <c r="EPI21" s="196"/>
      <c r="EPJ21" s="195"/>
      <c r="EPK21" s="197"/>
      <c r="EPL21" s="198"/>
      <c r="EPM21" s="199"/>
      <c r="EPN21" s="194"/>
      <c r="EPO21" s="194"/>
      <c r="EPP21" s="194"/>
      <c r="EPQ21" s="195"/>
      <c r="EPR21" s="195"/>
      <c r="EPS21" s="196"/>
      <c r="EPT21" s="195"/>
      <c r="EPU21" s="197"/>
      <c r="EPV21" s="198"/>
      <c r="EPW21" s="199"/>
      <c r="EPX21" s="194"/>
      <c r="EPY21" s="194"/>
      <c r="EPZ21" s="194"/>
      <c r="EQA21" s="195"/>
      <c r="EQB21" s="195"/>
      <c r="EQC21" s="196"/>
      <c r="EQD21" s="195"/>
      <c r="EQE21" s="197"/>
      <c r="EQF21" s="198"/>
      <c r="EQG21" s="199"/>
      <c r="EQH21" s="194"/>
      <c r="EQI21" s="194"/>
      <c r="EQJ21" s="194"/>
      <c r="EQK21" s="195"/>
      <c r="EQL21" s="195"/>
      <c r="EQM21" s="196"/>
      <c r="EQN21" s="195"/>
      <c r="EQO21" s="197"/>
      <c r="EQP21" s="198"/>
      <c r="EQQ21" s="199"/>
      <c r="EQR21" s="194"/>
      <c r="EQS21" s="194"/>
      <c r="EQT21" s="194"/>
      <c r="EQU21" s="195"/>
      <c r="EQV21" s="195"/>
      <c r="EQW21" s="196"/>
      <c r="EQX21" s="195"/>
      <c r="EQY21" s="197"/>
      <c r="EQZ21" s="198"/>
      <c r="ERA21" s="199"/>
      <c r="ERB21" s="194"/>
      <c r="ERC21" s="194"/>
      <c r="ERD21" s="194"/>
      <c r="ERE21" s="195"/>
      <c r="ERF21" s="195"/>
      <c r="ERG21" s="196"/>
      <c r="ERH21" s="195"/>
      <c r="ERI21" s="197"/>
      <c r="ERJ21" s="198"/>
      <c r="ERK21" s="199"/>
      <c r="ERL21" s="194"/>
      <c r="ERM21" s="194"/>
      <c r="ERN21" s="194"/>
      <c r="ERO21" s="195"/>
      <c r="ERP21" s="195"/>
      <c r="ERQ21" s="196"/>
      <c r="ERR21" s="195"/>
      <c r="ERS21" s="197"/>
      <c r="ERT21" s="198"/>
      <c r="ERU21" s="199"/>
      <c r="ERV21" s="194"/>
      <c r="ERW21" s="194"/>
      <c r="ERX21" s="194"/>
      <c r="ERY21" s="195"/>
      <c r="ERZ21" s="195"/>
      <c r="ESA21" s="196"/>
      <c r="ESB21" s="195"/>
      <c r="ESC21" s="197"/>
      <c r="ESD21" s="198"/>
      <c r="ESE21" s="199"/>
      <c r="ESF21" s="194"/>
      <c r="ESG21" s="194"/>
      <c r="ESH21" s="194"/>
      <c r="ESI21" s="195"/>
      <c r="ESJ21" s="195"/>
      <c r="ESK21" s="196"/>
      <c r="ESL21" s="195"/>
      <c r="ESM21" s="197"/>
      <c r="ESN21" s="198"/>
      <c r="ESO21" s="199"/>
      <c r="ESP21" s="194"/>
      <c r="ESQ21" s="194"/>
      <c r="ESR21" s="194"/>
      <c r="ESS21" s="195"/>
      <c r="EST21" s="195"/>
      <c r="ESU21" s="196"/>
      <c r="ESV21" s="195"/>
      <c r="ESW21" s="197"/>
      <c r="ESX21" s="198"/>
      <c r="ESY21" s="199"/>
      <c r="ESZ21" s="194"/>
      <c r="ETA21" s="194"/>
      <c r="ETB21" s="194"/>
      <c r="ETC21" s="195"/>
      <c r="ETD21" s="195"/>
      <c r="ETE21" s="196"/>
      <c r="ETF21" s="195"/>
      <c r="ETG21" s="197"/>
      <c r="ETH21" s="198"/>
      <c r="ETI21" s="199"/>
      <c r="ETJ21" s="194"/>
      <c r="ETK21" s="194"/>
      <c r="ETL21" s="194"/>
      <c r="ETM21" s="195"/>
      <c r="ETN21" s="195"/>
      <c r="ETO21" s="196"/>
      <c r="ETP21" s="195"/>
      <c r="ETQ21" s="197"/>
      <c r="ETR21" s="198"/>
      <c r="ETS21" s="199"/>
      <c r="ETT21" s="194"/>
      <c r="ETU21" s="194"/>
      <c r="ETV21" s="194"/>
      <c r="ETW21" s="195"/>
      <c r="ETX21" s="195"/>
      <c r="ETY21" s="196"/>
      <c r="ETZ21" s="195"/>
      <c r="EUA21" s="197"/>
      <c r="EUB21" s="198"/>
      <c r="EUC21" s="199"/>
      <c r="EUD21" s="194"/>
      <c r="EUE21" s="194"/>
      <c r="EUF21" s="194"/>
      <c r="EUG21" s="195"/>
      <c r="EUH21" s="195"/>
      <c r="EUI21" s="196"/>
      <c r="EUJ21" s="195"/>
      <c r="EUK21" s="197"/>
      <c r="EUL21" s="198"/>
      <c r="EUM21" s="199"/>
      <c r="EUN21" s="194"/>
      <c r="EUO21" s="194"/>
      <c r="EUP21" s="194"/>
      <c r="EUQ21" s="195"/>
      <c r="EUR21" s="195"/>
      <c r="EUS21" s="196"/>
      <c r="EUT21" s="195"/>
      <c r="EUU21" s="197"/>
      <c r="EUV21" s="198"/>
      <c r="EUW21" s="199"/>
      <c r="EUX21" s="194"/>
      <c r="EUY21" s="194"/>
      <c r="EUZ21" s="194"/>
      <c r="EVA21" s="195"/>
      <c r="EVB21" s="195"/>
      <c r="EVC21" s="196"/>
      <c r="EVD21" s="195"/>
      <c r="EVE21" s="197"/>
      <c r="EVF21" s="198"/>
      <c r="EVG21" s="199"/>
      <c r="EVH21" s="194"/>
      <c r="EVI21" s="194"/>
      <c r="EVJ21" s="194"/>
      <c r="EVK21" s="195"/>
      <c r="EVL21" s="195"/>
      <c r="EVM21" s="196"/>
      <c r="EVN21" s="195"/>
      <c r="EVO21" s="197"/>
      <c r="EVP21" s="198"/>
      <c r="EVQ21" s="199"/>
      <c r="EVR21" s="194"/>
      <c r="EVS21" s="194"/>
      <c r="EVT21" s="194"/>
      <c r="EVU21" s="195"/>
      <c r="EVV21" s="195"/>
      <c r="EVW21" s="196"/>
      <c r="EVX21" s="195"/>
      <c r="EVY21" s="197"/>
      <c r="EVZ21" s="198"/>
      <c r="EWA21" s="199"/>
      <c r="EWB21" s="194"/>
      <c r="EWC21" s="194"/>
      <c r="EWD21" s="194"/>
      <c r="EWE21" s="195"/>
      <c r="EWF21" s="195"/>
      <c r="EWG21" s="196"/>
      <c r="EWH21" s="195"/>
      <c r="EWI21" s="197"/>
      <c r="EWJ21" s="198"/>
      <c r="EWK21" s="199"/>
      <c r="EWL21" s="194"/>
      <c r="EWM21" s="194"/>
      <c r="EWN21" s="194"/>
      <c r="EWO21" s="195"/>
      <c r="EWP21" s="195"/>
      <c r="EWQ21" s="196"/>
      <c r="EWR21" s="195"/>
      <c r="EWS21" s="197"/>
      <c r="EWT21" s="198"/>
      <c r="EWU21" s="199"/>
      <c r="EWV21" s="194"/>
      <c r="EWW21" s="194"/>
      <c r="EWX21" s="194"/>
      <c r="EWY21" s="195"/>
      <c r="EWZ21" s="195"/>
      <c r="EXA21" s="196"/>
      <c r="EXB21" s="195"/>
      <c r="EXC21" s="197"/>
      <c r="EXD21" s="198"/>
      <c r="EXE21" s="199"/>
      <c r="EXF21" s="194"/>
      <c r="EXG21" s="194"/>
      <c r="EXH21" s="194"/>
      <c r="EXI21" s="195"/>
      <c r="EXJ21" s="195"/>
      <c r="EXK21" s="196"/>
      <c r="EXL21" s="195"/>
      <c r="EXM21" s="197"/>
      <c r="EXN21" s="198"/>
      <c r="EXO21" s="199"/>
      <c r="EXP21" s="194"/>
      <c r="EXQ21" s="194"/>
      <c r="EXR21" s="194"/>
      <c r="EXS21" s="195"/>
      <c r="EXT21" s="195"/>
      <c r="EXU21" s="196"/>
      <c r="EXV21" s="195"/>
      <c r="EXW21" s="197"/>
      <c r="EXX21" s="198"/>
      <c r="EXY21" s="199"/>
      <c r="EXZ21" s="194"/>
      <c r="EYA21" s="194"/>
      <c r="EYB21" s="194"/>
      <c r="EYC21" s="195"/>
      <c r="EYD21" s="195"/>
      <c r="EYE21" s="196"/>
      <c r="EYF21" s="195"/>
      <c r="EYG21" s="197"/>
      <c r="EYH21" s="198"/>
      <c r="EYI21" s="199"/>
      <c r="EYJ21" s="194"/>
      <c r="EYK21" s="194"/>
      <c r="EYL21" s="194"/>
      <c r="EYM21" s="195"/>
      <c r="EYN21" s="195"/>
      <c r="EYO21" s="196"/>
      <c r="EYP21" s="195"/>
      <c r="EYQ21" s="197"/>
      <c r="EYR21" s="198"/>
      <c r="EYS21" s="199"/>
      <c r="EYT21" s="194"/>
      <c r="EYU21" s="194"/>
      <c r="EYV21" s="194"/>
      <c r="EYW21" s="195"/>
      <c r="EYX21" s="195"/>
      <c r="EYY21" s="196"/>
      <c r="EYZ21" s="195"/>
      <c r="EZA21" s="197"/>
      <c r="EZB21" s="198"/>
      <c r="EZC21" s="199"/>
      <c r="EZD21" s="194"/>
      <c r="EZE21" s="194"/>
      <c r="EZF21" s="194"/>
      <c r="EZG21" s="195"/>
      <c r="EZH21" s="195"/>
      <c r="EZI21" s="196"/>
      <c r="EZJ21" s="195"/>
      <c r="EZK21" s="197"/>
      <c r="EZL21" s="198"/>
      <c r="EZM21" s="199"/>
      <c r="EZN21" s="194"/>
      <c r="EZO21" s="194"/>
      <c r="EZP21" s="194"/>
      <c r="EZQ21" s="195"/>
      <c r="EZR21" s="195"/>
      <c r="EZS21" s="196"/>
      <c r="EZT21" s="195"/>
      <c r="EZU21" s="197"/>
      <c r="EZV21" s="198"/>
      <c r="EZW21" s="199"/>
      <c r="EZX21" s="194"/>
      <c r="EZY21" s="194"/>
      <c r="EZZ21" s="194"/>
      <c r="FAA21" s="195"/>
      <c r="FAB21" s="195"/>
      <c r="FAC21" s="196"/>
      <c r="FAD21" s="195"/>
      <c r="FAE21" s="197"/>
      <c r="FAF21" s="198"/>
      <c r="FAG21" s="199"/>
      <c r="FAH21" s="194"/>
      <c r="FAI21" s="194"/>
      <c r="FAJ21" s="194"/>
      <c r="FAK21" s="195"/>
      <c r="FAL21" s="195"/>
      <c r="FAM21" s="196"/>
      <c r="FAN21" s="195"/>
      <c r="FAO21" s="197"/>
      <c r="FAP21" s="198"/>
      <c r="FAQ21" s="199"/>
      <c r="FAR21" s="194"/>
      <c r="FAS21" s="194"/>
      <c r="FAT21" s="194"/>
      <c r="FAU21" s="195"/>
      <c r="FAV21" s="195"/>
      <c r="FAW21" s="196"/>
      <c r="FAX21" s="195"/>
      <c r="FAY21" s="197"/>
      <c r="FAZ21" s="198"/>
      <c r="FBA21" s="199"/>
      <c r="FBB21" s="194"/>
      <c r="FBC21" s="194"/>
      <c r="FBD21" s="194"/>
      <c r="FBE21" s="195"/>
      <c r="FBF21" s="195"/>
      <c r="FBG21" s="196"/>
      <c r="FBH21" s="195"/>
      <c r="FBI21" s="197"/>
      <c r="FBJ21" s="198"/>
      <c r="FBK21" s="199"/>
      <c r="FBL21" s="194"/>
      <c r="FBM21" s="194"/>
      <c r="FBN21" s="194"/>
      <c r="FBO21" s="195"/>
      <c r="FBP21" s="195"/>
      <c r="FBQ21" s="196"/>
      <c r="FBR21" s="195"/>
      <c r="FBS21" s="197"/>
      <c r="FBT21" s="198"/>
      <c r="FBU21" s="199"/>
      <c r="FBV21" s="194"/>
      <c r="FBW21" s="194"/>
      <c r="FBX21" s="194"/>
      <c r="FBY21" s="195"/>
      <c r="FBZ21" s="195"/>
      <c r="FCA21" s="196"/>
      <c r="FCB21" s="195"/>
      <c r="FCC21" s="197"/>
      <c r="FCD21" s="198"/>
      <c r="FCE21" s="199"/>
      <c r="FCF21" s="194"/>
      <c r="FCG21" s="194"/>
      <c r="FCH21" s="194"/>
      <c r="FCI21" s="195"/>
      <c r="FCJ21" s="195"/>
      <c r="FCK21" s="196"/>
      <c r="FCL21" s="195"/>
      <c r="FCM21" s="197"/>
      <c r="FCN21" s="198"/>
      <c r="FCO21" s="199"/>
      <c r="FCP21" s="194"/>
      <c r="FCQ21" s="194"/>
      <c r="FCR21" s="194"/>
      <c r="FCS21" s="195"/>
      <c r="FCT21" s="195"/>
      <c r="FCU21" s="196"/>
      <c r="FCV21" s="195"/>
      <c r="FCW21" s="197"/>
      <c r="FCX21" s="198"/>
      <c r="FCY21" s="199"/>
      <c r="FCZ21" s="194"/>
      <c r="FDA21" s="194"/>
      <c r="FDB21" s="194"/>
      <c r="FDC21" s="195"/>
      <c r="FDD21" s="195"/>
      <c r="FDE21" s="196"/>
      <c r="FDF21" s="195"/>
      <c r="FDG21" s="197"/>
      <c r="FDH21" s="198"/>
      <c r="FDI21" s="199"/>
      <c r="FDJ21" s="194"/>
      <c r="FDK21" s="194"/>
      <c r="FDL21" s="194"/>
      <c r="FDM21" s="195"/>
      <c r="FDN21" s="195"/>
      <c r="FDO21" s="196"/>
      <c r="FDP21" s="195"/>
      <c r="FDQ21" s="197"/>
      <c r="FDR21" s="198"/>
      <c r="FDS21" s="199"/>
      <c r="FDT21" s="194"/>
      <c r="FDU21" s="194"/>
      <c r="FDV21" s="194"/>
      <c r="FDW21" s="195"/>
      <c r="FDX21" s="195"/>
      <c r="FDY21" s="196"/>
      <c r="FDZ21" s="195"/>
      <c r="FEA21" s="197"/>
      <c r="FEB21" s="198"/>
      <c r="FEC21" s="199"/>
      <c r="FED21" s="194"/>
      <c r="FEE21" s="194"/>
      <c r="FEF21" s="194"/>
      <c r="FEG21" s="195"/>
      <c r="FEH21" s="195"/>
      <c r="FEI21" s="196"/>
      <c r="FEJ21" s="195"/>
      <c r="FEK21" s="197"/>
      <c r="FEL21" s="198"/>
      <c r="FEM21" s="199"/>
      <c r="FEN21" s="194"/>
      <c r="FEO21" s="194"/>
      <c r="FEP21" s="194"/>
      <c r="FEQ21" s="195"/>
      <c r="FER21" s="195"/>
      <c r="FES21" s="196"/>
      <c r="FET21" s="195"/>
      <c r="FEU21" s="197"/>
      <c r="FEV21" s="198"/>
      <c r="FEW21" s="199"/>
      <c r="FEX21" s="194"/>
      <c r="FEY21" s="194"/>
      <c r="FEZ21" s="194"/>
      <c r="FFA21" s="195"/>
      <c r="FFB21" s="195"/>
      <c r="FFC21" s="196"/>
      <c r="FFD21" s="195"/>
      <c r="FFE21" s="197"/>
      <c r="FFF21" s="198"/>
      <c r="FFG21" s="199"/>
      <c r="FFH21" s="194"/>
      <c r="FFI21" s="194"/>
      <c r="FFJ21" s="194"/>
      <c r="FFK21" s="195"/>
      <c r="FFL21" s="195"/>
      <c r="FFM21" s="196"/>
      <c r="FFN21" s="195"/>
      <c r="FFO21" s="197"/>
      <c r="FFP21" s="198"/>
      <c r="FFQ21" s="199"/>
      <c r="FFR21" s="194"/>
      <c r="FFS21" s="194"/>
      <c r="FFT21" s="194"/>
      <c r="FFU21" s="195"/>
      <c r="FFV21" s="195"/>
      <c r="FFW21" s="196"/>
      <c r="FFX21" s="195"/>
      <c r="FFY21" s="197"/>
      <c r="FFZ21" s="198"/>
      <c r="FGA21" s="199"/>
      <c r="FGB21" s="194"/>
      <c r="FGC21" s="194"/>
      <c r="FGD21" s="194"/>
      <c r="FGE21" s="195"/>
      <c r="FGF21" s="195"/>
      <c r="FGG21" s="196"/>
      <c r="FGH21" s="195"/>
      <c r="FGI21" s="197"/>
      <c r="FGJ21" s="198"/>
      <c r="FGK21" s="199"/>
      <c r="FGL21" s="194"/>
      <c r="FGM21" s="194"/>
      <c r="FGN21" s="194"/>
      <c r="FGO21" s="195"/>
      <c r="FGP21" s="195"/>
      <c r="FGQ21" s="196"/>
      <c r="FGR21" s="195"/>
      <c r="FGS21" s="197"/>
      <c r="FGT21" s="198"/>
      <c r="FGU21" s="199"/>
      <c r="FGV21" s="194"/>
      <c r="FGW21" s="194"/>
      <c r="FGX21" s="194"/>
      <c r="FGY21" s="195"/>
      <c r="FGZ21" s="195"/>
      <c r="FHA21" s="196"/>
      <c r="FHB21" s="195"/>
      <c r="FHC21" s="197"/>
      <c r="FHD21" s="198"/>
      <c r="FHE21" s="199"/>
      <c r="FHF21" s="194"/>
      <c r="FHG21" s="194"/>
      <c r="FHH21" s="194"/>
      <c r="FHI21" s="195"/>
      <c r="FHJ21" s="195"/>
      <c r="FHK21" s="196"/>
      <c r="FHL21" s="195"/>
      <c r="FHM21" s="197"/>
      <c r="FHN21" s="198"/>
      <c r="FHO21" s="199"/>
      <c r="FHP21" s="194"/>
      <c r="FHQ21" s="194"/>
      <c r="FHR21" s="194"/>
      <c r="FHS21" s="195"/>
      <c r="FHT21" s="195"/>
      <c r="FHU21" s="196"/>
      <c r="FHV21" s="195"/>
      <c r="FHW21" s="197"/>
      <c r="FHX21" s="198"/>
      <c r="FHY21" s="199"/>
      <c r="FHZ21" s="194"/>
      <c r="FIA21" s="194"/>
      <c r="FIB21" s="194"/>
      <c r="FIC21" s="195"/>
      <c r="FID21" s="195"/>
      <c r="FIE21" s="196"/>
      <c r="FIF21" s="195"/>
      <c r="FIG21" s="197"/>
      <c r="FIH21" s="198"/>
      <c r="FII21" s="199"/>
      <c r="FIJ21" s="194"/>
      <c r="FIK21" s="194"/>
      <c r="FIL21" s="194"/>
      <c r="FIM21" s="195"/>
      <c r="FIN21" s="195"/>
      <c r="FIO21" s="196"/>
      <c r="FIP21" s="195"/>
      <c r="FIQ21" s="197"/>
      <c r="FIR21" s="198"/>
      <c r="FIS21" s="199"/>
      <c r="FIT21" s="194"/>
      <c r="FIU21" s="194"/>
      <c r="FIV21" s="194"/>
      <c r="FIW21" s="195"/>
      <c r="FIX21" s="195"/>
      <c r="FIY21" s="196"/>
      <c r="FIZ21" s="195"/>
      <c r="FJA21" s="197"/>
      <c r="FJB21" s="198"/>
      <c r="FJC21" s="199"/>
      <c r="FJD21" s="194"/>
      <c r="FJE21" s="194"/>
      <c r="FJF21" s="194"/>
      <c r="FJG21" s="195"/>
      <c r="FJH21" s="195"/>
      <c r="FJI21" s="196"/>
      <c r="FJJ21" s="195"/>
      <c r="FJK21" s="197"/>
      <c r="FJL21" s="198"/>
      <c r="FJM21" s="199"/>
      <c r="FJN21" s="194"/>
      <c r="FJO21" s="194"/>
      <c r="FJP21" s="194"/>
      <c r="FJQ21" s="195"/>
      <c r="FJR21" s="195"/>
      <c r="FJS21" s="196"/>
      <c r="FJT21" s="195"/>
      <c r="FJU21" s="197"/>
      <c r="FJV21" s="198"/>
      <c r="FJW21" s="199"/>
      <c r="FJX21" s="194"/>
      <c r="FJY21" s="194"/>
      <c r="FJZ21" s="194"/>
      <c r="FKA21" s="195"/>
      <c r="FKB21" s="195"/>
      <c r="FKC21" s="196"/>
      <c r="FKD21" s="195"/>
      <c r="FKE21" s="197"/>
      <c r="FKF21" s="198"/>
      <c r="FKG21" s="199"/>
      <c r="FKH21" s="194"/>
      <c r="FKI21" s="194"/>
      <c r="FKJ21" s="194"/>
      <c r="FKK21" s="195"/>
      <c r="FKL21" s="195"/>
      <c r="FKM21" s="196"/>
      <c r="FKN21" s="195"/>
      <c r="FKO21" s="197"/>
      <c r="FKP21" s="198"/>
      <c r="FKQ21" s="199"/>
      <c r="FKR21" s="194"/>
      <c r="FKS21" s="194"/>
      <c r="FKT21" s="194"/>
      <c r="FKU21" s="195"/>
      <c r="FKV21" s="195"/>
      <c r="FKW21" s="196"/>
      <c r="FKX21" s="195"/>
      <c r="FKY21" s="197"/>
      <c r="FKZ21" s="198"/>
      <c r="FLA21" s="199"/>
      <c r="FLB21" s="194"/>
      <c r="FLC21" s="194"/>
      <c r="FLD21" s="194"/>
      <c r="FLE21" s="195"/>
      <c r="FLF21" s="195"/>
      <c r="FLG21" s="196"/>
      <c r="FLH21" s="195"/>
      <c r="FLI21" s="197"/>
      <c r="FLJ21" s="198"/>
      <c r="FLK21" s="199"/>
      <c r="FLL21" s="194"/>
      <c r="FLM21" s="194"/>
      <c r="FLN21" s="194"/>
      <c r="FLO21" s="195"/>
      <c r="FLP21" s="195"/>
      <c r="FLQ21" s="196"/>
      <c r="FLR21" s="195"/>
      <c r="FLS21" s="197"/>
      <c r="FLT21" s="198"/>
      <c r="FLU21" s="199"/>
      <c r="FLV21" s="194"/>
      <c r="FLW21" s="194"/>
      <c r="FLX21" s="194"/>
      <c r="FLY21" s="195"/>
      <c r="FLZ21" s="195"/>
      <c r="FMA21" s="196"/>
      <c r="FMB21" s="195"/>
      <c r="FMC21" s="197"/>
      <c r="FMD21" s="198"/>
      <c r="FME21" s="199"/>
      <c r="FMF21" s="194"/>
      <c r="FMG21" s="194"/>
      <c r="FMH21" s="194"/>
      <c r="FMI21" s="195"/>
      <c r="FMJ21" s="195"/>
      <c r="FMK21" s="196"/>
      <c r="FML21" s="195"/>
      <c r="FMM21" s="197"/>
      <c r="FMN21" s="198"/>
      <c r="FMO21" s="199"/>
      <c r="FMP21" s="194"/>
      <c r="FMQ21" s="194"/>
      <c r="FMR21" s="194"/>
      <c r="FMS21" s="195"/>
      <c r="FMT21" s="195"/>
      <c r="FMU21" s="196"/>
      <c r="FMV21" s="195"/>
      <c r="FMW21" s="197"/>
      <c r="FMX21" s="198"/>
      <c r="FMY21" s="199"/>
      <c r="FMZ21" s="194"/>
      <c r="FNA21" s="194"/>
      <c r="FNB21" s="194"/>
      <c r="FNC21" s="195"/>
      <c r="FND21" s="195"/>
      <c r="FNE21" s="196"/>
      <c r="FNF21" s="195"/>
      <c r="FNG21" s="197"/>
      <c r="FNH21" s="198"/>
      <c r="FNI21" s="199"/>
      <c r="FNJ21" s="194"/>
      <c r="FNK21" s="194"/>
      <c r="FNL21" s="194"/>
      <c r="FNM21" s="195"/>
      <c r="FNN21" s="195"/>
      <c r="FNO21" s="196"/>
      <c r="FNP21" s="195"/>
      <c r="FNQ21" s="197"/>
      <c r="FNR21" s="198"/>
      <c r="FNS21" s="199"/>
      <c r="FNT21" s="194"/>
      <c r="FNU21" s="194"/>
      <c r="FNV21" s="194"/>
      <c r="FNW21" s="195"/>
      <c r="FNX21" s="195"/>
      <c r="FNY21" s="196"/>
      <c r="FNZ21" s="195"/>
      <c r="FOA21" s="197"/>
      <c r="FOB21" s="198"/>
      <c r="FOC21" s="199"/>
      <c r="FOD21" s="194"/>
      <c r="FOE21" s="194"/>
      <c r="FOF21" s="194"/>
      <c r="FOG21" s="195"/>
      <c r="FOH21" s="195"/>
      <c r="FOI21" s="196"/>
      <c r="FOJ21" s="195"/>
      <c r="FOK21" s="197"/>
      <c r="FOL21" s="198"/>
      <c r="FOM21" s="199"/>
      <c r="FON21" s="194"/>
      <c r="FOO21" s="194"/>
      <c r="FOP21" s="194"/>
      <c r="FOQ21" s="195"/>
      <c r="FOR21" s="195"/>
      <c r="FOS21" s="196"/>
      <c r="FOT21" s="195"/>
      <c r="FOU21" s="197"/>
      <c r="FOV21" s="198"/>
      <c r="FOW21" s="199"/>
      <c r="FOX21" s="194"/>
      <c r="FOY21" s="194"/>
      <c r="FOZ21" s="194"/>
      <c r="FPA21" s="195"/>
      <c r="FPB21" s="195"/>
      <c r="FPC21" s="196"/>
      <c r="FPD21" s="195"/>
      <c r="FPE21" s="197"/>
      <c r="FPF21" s="198"/>
      <c r="FPG21" s="199"/>
      <c r="FPH21" s="194"/>
      <c r="FPI21" s="194"/>
      <c r="FPJ21" s="194"/>
      <c r="FPK21" s="195"/>
      <c r="FPL21" s="195"/>
      <c r="FPM21" s="196"/>
      <c r="FPN21" s="195"/>
      <c r="FPO21" s="197"/>
      <c r="FPP21" s="198"/>
      <c r="FPQ21" s="199"/>
      <c r="FPR21" s="194"/>
      <c r="FPS21" s="194"/>
      <c r="FPT21" s="194"/>
      <c r="FPU21" s="195"/>
      <c r="FPV21" s="195"/>
      <c r="FPW21" s="196"/>
      <c r="FPX21" s="195"/>
      <c r="FPY21" s="197"/>
      <c r="FPZ21" s="198"/>
      <c r="FQA21" s="199"/>
      <c r="FQB21" s="194"/>
      <c r="FQC21" s="194"/>
      <c r="FQD21" s="194"/>
      <c r="FQE21" s="195"/>
      <c r="FQF21" s="195"/>
      <c r="FQG21" s="196"/>
      <c r="FQH21" s="195"/>
      <c r="FQI21" s="197"/>
      <c r="FQJ21" s="198"/>
      <c r="FQK21" s="199"/>
      <c r="FQL21" s="194"/>
      <c r="FQM21" s="194"/>
      <c r="FQN21" s="194"/>
      <c r="FQO21" s="195"/>
      <c r="FQP21" s="195"/>
      <c r="FQQ21" s="196"/>
      <c r="FQR21" s="195"/>
      <c r="FQS21" s="197"/>
      <c r="FQT21" s="198"/>
      <c r="FQU21" s="199"/>
      <c r="FQV21" s="194"/>
      <c r="FQW21" s="194"/>
      <c r="FQX21" s="194"/>
      <c r="FQY21" s="195"/>
      <c r="FQZ21" s="195"/>
      <c r="FRA21" s="196"/>
      <c r="FRB21" s="195"/>
      <c r="FRC21" s="197"/>
      <c r="FRD21" s="198"/>
      <c r="FRE21" s="199"/>
      <c r="FRF21" s="194"/>
      <c r="FRG21" s="194"/>
      <c r="FRH21" s="194"/>
      <c r="FRI21" s="195"/>
      <c r="FRJ21" s="195"/>
      <c r="FRK21" s="196"/>
      <c r="FRL21" s="195"/>
      <c r="FRM21" s="197"/>
      <c r="FRN21" s="198"/>
      <c r="FRO21" s="199"/>
      <c r="FRP21" s="194"/>
      <c r="FRQ21" s="194"/>
      <c r="FRR21" s="194"/>
      <c r="FRS21" s="195"/>
      <c r="FRT21" s="195"/>
      <c r="FRU21" s="196"/>
      <c r="FRV21" s="195"/>
      <c r="FRW21" s="197"/>
      <c r="FRX21" s="198"/>
      <c r="FRY21" s="199"/>
      <c r="FRZ21" s="194"/>
      <c r="FSA21" s="194"/>
      <c r="FSB21" s="194"/>
      <c r="FSC21" s="195"/>
      <c r="FSD21" s="195"/>
      <c r="FSE21" s="196"/>
      <c r="FSF21" s="195"/>
      <c r="FSG21" s="197"/>
      <c r="FSH21" s="198"/>
      <c r="FSI21" s="199"/>
      <c r="FSJ21" s="194"/>
      <c r="FSK21" s="194"/>
      <c r="FSL21" s="194"/>
      <c r="FSM21" s="195"/>
      <c r="FSN21" s="195"/>
      <c r="FSO21" s="196"/>
      <c r="FSP21" s="195"/>
      <c r="FSQ21" s="197"/>
      <c r="FSR21" s="198"/>
      <c r="FSS21" s="199"/>
      <c r="FST21" s="194"/>
      <c r="FSU21" s="194"/>
      <c r="FSV21" s="194"/>
      <c r="FSW21" s="195"/>
      <c r="FSX21" s="195"/>
      <c r="FSY21" s="196"/>
      <c r="FSZ21" s="195"/>
      <c r="FTA21" s="197"/>
      <c r="FTB21" s="198"/>
      <c r="FTC21" s="199"/>
      <c r="FTD21" s="194"/>
      <c r="FTE21" s="194"/>
      <c r="FTF21" s="194"/>
      <c r="FTG21" s="195"/>
      <c r="FTH21" s="195"/>
      <c r="FTI21" s="196"/>
      <c r="FTJ21" s="195"/>
      <c r="FTK21" s="197"/>
      <c r="FTL21" s="198"/>
      <c r="FTM21" s="199"/>
      <c r="FTN21" s="194"/>
      <c r="FTO21" s="194"/>
      <c r="FTP21" s="194"/>
      <c r="FTQ21" s="195"/>
      <c r="FTR21" s="195"/>
      <c r="FTS21" s="196"/>
      <c r="FTT21" s="195"/>
      <c r="FTU21" s="197"/>
      <c r="FTV21" s="198"/>
      <c r="FTW21" s="199"/>
      <c r="FTX21" s="194"/>
      <c r="FTY21" s="194"/>
      <c r="FTZ21" s="194"/>
      <c r="FUA21" s="195"/>
      <c r="FUB21" s="195"/>
      <c r="FUC21" s="196"/>
      <c r="FUD21" s="195"/>
      <c r="FUE21" s="197"/>
      <c r="FUF21" s="198"/>
      <c r="FUG21" s="199"/>
      <c r="FUH21" s="194"/>
      <c r="FUI21" s="194"/>
      <c r="FUJ21" s="194"/>
      <c r="FUK21" s="195"/>
      <c r="FUL21" s="195"/>
      <c r="FUM21" s="196"/>
      <c r="FUN21" s="195"/>
      <c r="FUO21" s="197"/>
      <c r="FUP21" s="198"/>
      <c r="FUQ21" s="199"/>
      <c r="FUR21" s="194"/>
      <c r="FUS21" s="194"/>
      <c r="FUT21" s="194"/>
      <c r="FUU21" s="195"/>
      <c r="FUV21" s="195"/>
      <c r="FUW21" s="196"/>
      <c r="FUX21" s="195"/>
      <c r="FUY21" s="197"/>
      <c r="FUZ21" s="198"/>
      <c r="FVA21" s="199"/>
      <c r="FVB21" s="194"/>
      <c r="FVC21" s="194"/>
      <c r="FVD21" s="194"/>
      <c r="FVE21" s="195"/>
      <c r="FVF21" s="195"/>
      <c r="FVG21" s="196"/>
      <c r="FVH21" s="195"/>
      <c r="FVI21" s="197"/>
      <c r="FVJ21" s="198"/>
      <c r="FVK21" s="199"/>
      <c r="FVL21" s="194"/>
      <c r="FVM21" s="194"/>
      <c r="FVN21" s="194"/>
      <c r="FVO21" s="195"/>
      <c r="FVP21" s="195"/>
      <c r="FVQ21" s="196"/>
      <c r="FVR21" s="195"/>
      <c r="FVS21" s="197"/>
      <c r="FVT21" s="198"/>
      <c r="FVU21" s="199"/>
      <c r="FVV21" s="194"/>
      <c r="FVW21" s="194"/>
      <c r="FVX21" s="194"/>
      <c r="FVY21" s="195"/>
      <c r="FVZ21" s="195"/>
      <c r="FWA21" s="196"/>
      <c r="FWB21" s="195"/>
      <c r="FWC21" s="197"/>
      <c r="FWD21" s="198"/>
      <c r="FWE21" s="199"/>
      <c r="FWF21" s="194"/>
      <c r="FWG21" s="194"/>
      <c r="FWH21" s="194"/>
      <c r="FWI21" s="195"/>
      <c r="FWJ21" s="195"/>
      <c r="FWK21" s="196"/>
      <c r="FWL21" s="195"/>
      <c r="FWM21" s="197"/>
      <c r="FWN21" s="198"/>
      <c r="FWO21" s="199"/>
      <c r="FWP21" s="194"/>
      <c r="FWQ21" s="194"/>
      <c r="FWR21" s="194"/>
      <c r="FWS21" s="195"/>
      <c r="FWT21" s="195"/>
      <c r="FWU21" s="196"/>
      <c r="FWV21" s="195"/>
      <c r="FWW21" s="197"/>
      <c r="FWX21" s="198"/>
      <c r="FWY21" s="199"/>
      <c r="FWZ21" s="194"/>
      <c r="FXA21" s="194"/>
      <c r="FXB21" s="194"/>
      <c r="FXC21" s="195"/>
      <c r="FXD21" s="195"/>
      <c r="FXE21" s="196"/>
      <c r="FXF21" s="195"/>
      <c r="FXG21" s="197"/>
      <c r="FXH21" s="198"/>
      <c r="FXI21" s="199"/>
      <c r="FXJ21" s="194"/>
      <c r="FXK21" s="194"/>
      <c r="FXL21" s="194"/>
      <c r="FXM21" s="195"/>
      <c r="FXN21" s="195"/>
      <c r="FXO21" s="196"/>
      <c r="FXP21" s="195"/>
      <c r="FXQ21" s="197"/>
      <c r="FXR21" s="198"/>
      <c r="FXS21" s="199"/>
      <c r="FXT21" s="194"/>
      <c r="FXU21" s="194"/>
      <c r="FXV21" s="194"/>
      <c r="FXW21" s="195"/>
      <c r="FXX21" s="195"/>
      <c r="FXY21" s="196"/>
      <c r="FXZ21" s="195"/>
      <c r="FYA21" s="197"/>
      <c r="FYB21" s="198"/>
      <c r="FYC21" s="199"/>
      <c r="FYD21" s="194"/>
      <c r="FYE21" s="194"/>
      <c r="FYF21" s="194"/>
      <c r="FYG21" s="195"/>
      <c r="FYH21" s="195"/>
      <c r="FYI21" s="196"/>
      <c r="FYJ21" s="195"/>
      <c r="FYK21" s="197"/>
      <c r="FYL21" s="198"/>
      <c r="FYM21" s="199"/>
      <c r="FYN21" s="194"/>
      <c r="FYO21" s="194"/>
      <c r="FYP21" s="194"/>
      <c r="FYQ21" s="195"/>
      <c r="FYR21" s="195"/>
      <c r="FYS21" s="196"/>
      <c r="FYT21" s="195"/>
      <c r="FYU21" s="197"/>
      <c r="FYV21" s="198"/>
      <c r="FYW21" s="199"/>
      <c r="FYX21" s="194"/>
      <c r="FYY21" s="194"/>
      <c r="FYZ21" s="194"/>
      <c r="FZA21" s="195"/>
      <c r="FZB21" s="195"/>
      <c r="FZC21" s="196"/>
      <c r="FZD21" s="195"/>
      <c r="FZE21" s="197"/>
      <c r="FZF21" s="198"/>
      <c r="FZG21" s="199"/>
      <c r="FZH21" s="194"/>
      <c r="FZI21" s="194"/>
      <c r="FZJ21" s="194"/>
      <c r="FZK21" s="195"/>
      <c r="FZL21" s="195"/>
      <c r="FZM21" s="196"/>
      <c r="FZN21" s="195"/>
      <c r="FZO21" s="197"/>
      <c r="FZP21" s="198"/>
      <c r="FZQ21" s="199"/>
      <c r="FZR21" s="194"/>
      <c r="FZS21" s="194"/>
      <c r="FZT21" s="194"/>
      <c r="FZU21" s="195"/>
      <c r="FZV21" s="195"/>
      <c r="FZW21" s="196"/>
      <c r="FZX21" s="195"/>
      <c r="FZY21" s="197"/>
      <c r="FZZ21" s="198"/>
      <c r="GAA21" s="199"/>
      <c r="GAB21" s="194"/>
      <c r="GAC21" s="194"/>
      <c r="GAD21" s="194"/>
      <c r="GAE21" s="195"/>
      <c r="GAF21" s="195"/>
      <c r="GAG21" s="196"/>
      <c r="GAH21" s="195"/>
      <c r="GAI21" s="197"/>
      <c r="GAJ21" s="198"/>
      <c r="GAK21" s="199"/>
      <c r="GAL21" s="194"/>
      <c r="GAM21" s="194"/>
      <c r="GAN21" s="194"/>
      <c r="GAO21" s="195"/>
      <c r="GAP21" s="195"/>
      <c r="GAQ21" s="196"/>
      <c r="GAR21" s="195"/>
      <c r="GAS21" s="197"/>
      <c r="GAT21" s="198"/>
      <c r="GAU21" s="199"/>
      <c r="GAV21" s="194"/>
      <c r="GAW21" s="194"/>
      <c r="GAX21" s="194"/>
      <c r="GAY21" s="195"/>
      <c r="GAZ21" s="195"/>
      <c r="GBA21" s="196"/>
      <c r="GBB21" s="195"/>
      <c r="GBC21" s="197"/>
      <c r="GBD21" s="198"/>
      <c r="GBE21" s="199"/>
      <c r="GBF21" s="194"/>
      <c r="GBG21" s="194"/>
      <c r="GBH21" s="194"/>
      <c r="GBI21" s="195"/>
      <c r="GBJ21" s="195"/>
      <c r="GBK21" s="196"/>
      <c r="GBL21" s="195"/>
      <c r="GBM21" s="197"/>
      <c r="GBN21" s="198"/>
      <c r="GBO21" s="199"/>
      <c r="GBP21" s="194"/>
      <c r="GBQ21" s="194"/>
      <c r="GBR21" s="194"/>
      <c r="GBS21" s="195"/>
      <c r="GBT21" s="195"/>
      <c r="GBU21" s="196"/>
      <c r="GBV21" s="195"/>
      <c r="GBW21" s="197"/>
      <c r="GBX21" s="198"/>
      <c r="GBY21" s="199"/>
      <c r="GBZ21" s="194"/>
      <c r="GCA21" s="194"/>
      <c r="GCB21" s="194"/>
      <c r="GCC21" s="195"/>
      <c r="GCD21" s="195"/>
      <c r="GCE21" s="196"/>
      <c r="GCF21" s="195"/>
      <c r="GCG21" s="197"/>
      <c r="GCH21" s="198"/>
      <c r="GCI21" s="199"/>
      <c r="GCJ21" s="194"/>
      <c r="GCK21" s="194"/>
      <c r="GCL21" s="194"/>
      <c r="GCM21" s="195"/>
      <c r="GCN21" s="195"/>
      <c r="GCO21" s="196"/>
      <c r="GCP21" s="195"/>
      <c r="GCQ21" s="197"/>
      <c r="GCR21" s="198"/>
      <c r="GCS21" s="199"/>
      <c r="GCT21" s="194"/>
      <c r="GCU21" s="194"/>
      <c r="GCV21" s="194"/>
      <c r="GCW21" s="195"/>
      <c r="GCX21" s="195"/>
      <c r="GCY21" s="196"/>
      <c r="GCZ21" s="195"/>
      <c r="GDA21" s="197"/>
      <c r="GDB21" s="198"/>
      <c r="GDC21" s="199"/>
      <c r="GDD21" s="194"/>
      <c r="GDE21" s="194"/>
      <c r="GDF21" s="194"/>
      <c r="GDG21" s="195"/>
      <c r="GDH21" s="195"/>
      <c r="GDI21" s="196"/>
      <c r="GDJ21" s="195"/>
      <c r="GDK21" s="197"/>
      <c r="GDL21" s="198"/>
      <c r="GDM21" s="199"/>
      <c r="GDN21" s="194"/>
      <c r="GDO21" s="194"/>
      <c r="GDP21" s="194"/>
      <c r="GDQ21" s="195"/>
      <c r="GDR21" s="195"/>
      <c r="GDS21" s="196"/>
      <c r="GDT21" s="195"/>
      <c r="GDU21" s="197"/>
      <c r="GDV21" s="198"/>
      <c r="GDW21" s="199"/>
      <c r="GDX21" s="194"/>
      <c r="GDY21" s="194"/>
      <c r="GDZ21" s="194"/>
      <c r="GEA21" s="195"/>
      <c r="GEB21" s="195"/>
      <c r="GEC21" s="196"/>
      <c r="GED21" s="195"/>
      <c r="GEE21" s="197"/>
      <c r="GEF21" s="198"/>
      <c r="GEG21" s="199"/>
      <c r="GEH21" s="194"/>
      <c r="GEI21" s="194"/>
      <c r="GEJ21" s="194"/>
      <c r="GEK21" s="195"/>
      <c r="GEL21" s="195"/>
      <c r="GEM21" s="196"/>
      <c r="GEN21" s="195"/>
      <c r="GEO21" s="197"/>
      <c r="GEP21" s="198"/>
      <c r="GEQ21" s="199"/>
      <c r="GER21" s="194"/>
      <c r="GES21" s="194"/>
      <c r="GET21" s="194"/>
      <c r="GEU21" s="195"/>
      <c r="GEV21" s="195"/>
      <c r="GEW21" s="196"/>
      <c r="GEX21" s="195"/>
      <c r="GEY21" s="197"/>
      <c r="GEZ21" s="198"/>
      <c r="GFA21" s="199"/>
      <c r="GFB21" s="194"/>
      <c r="GFC21" s="194"/>
      <c r="GFD21" s="194"/>
      <c r="GFE21" s="195"/>
      <c r="GFF21" s="195"/>
      <c r="GFG21" s="196"/>
      <c r="GFH21" s="195"/>
      <c r="GFI21" s="197"/>
      <c r="GFJ21" s="198"/>
      <c r="GFK21" s="199"/>
      <c r="GFL21" s="194"/>
      <c r="GFM21" s="194"/>
      <c r="GFN21" s="194"/>
      <c r="GFO21" s="195"/>
      <c r="GFP21" s="195"/>
      <c r="GFQ21" s="196"/>
      <c r="GFR21" s="195"/>
      <c r="GFS21" s="197"/>
      <c r="GFT21" s="198"/>
      <c r="GFU21" s="199"/>
      <c r="GFV21" s="194"/>
      <c r="GFW21" s="194"/>
      <c r="GFX21" s="194"/>
      <c r="GFY21" s="195"/>
      <c r="GFZ21" s="195"/>
      <c r="GGA21" s="196"/>
      <c r="GGB21" s="195"/>
      <c r="GGC21" s="197"/>
      <c r="GGD21" s="198"/>
      <c r="GGE21" s="199"/>
      <c r="GGF21" s="194"/>
      <c r="GGG21" s="194"/>
      <c r="GGH21" s="194"/>
      <c r="GGI21" s="195"/>
      <c r="GGJ21" s="195"/>
      <c r="GGK21" s="196"/>
      <c r="GGL21" s="195"/>
      <c r="GGM21" s="197"/>
      <c r="GGN21" s="198"/>
      <c r="GGO21" s="199"/>
      <c r="GGP21" s="194"/>
      <c r="GGQ21" s="194"/>
      <c r="GGR21" s="194"/>
      <c r="GGS21" s="195"/>
      <c r="GGT21" s="195"/>
      <c r="GGU21" s="196"/>
      <c r="GGV21" s="195"/>
      <c r="GGW21" s="197"/>
      <c r="GGX21" s="198"/>
      <c r="GGY21" s="199"/>
      <c r="GGZ21" s="194"/>
      <c r="GHA21" s="194"/>
      <c r="GHB21" s="194"/>
      <c r="GHC21" s="195"/>
      <c r="GHD21" s="195"/>
      <c r="GHE21" s="196"/>
      <c r="GHF21" s="195"/>
      <c r="GHG21" s="197"/>
      <c r="GHH21" s="198"/>
      <c r="GHI21" s="199"/>
      <c r="GHJ21" s="194"/>
      <c r="GHK21" s="194"/>
      <c r="GHL21" s="194"/>
      <c r="GHM21" s="195"/>
      <c r="GHN21" s="195"/>
      <c r="GHO21" s="196"/>
      <c r="GHP21" s="195"/>
      <c r="GHQ21" s="197"/>
      <c r="GHR21" s="198"/>
      <c r="GHS21" s="199"/>
      <c r="GHT21" s="194"/>
      <c r="GHU21" s="194"/>
      <c r="GHV21" s="194"/>
      <c r="GHW21" s="195"/>
      <c r="GHX21" s="195"/>
      <c r="GHY21" s="196"/>
      <c r="GHZ21" s="195"/>
      <c r="GIA21" s="197"/>
      <c r="GIB21" s="198"/>
      <c r="GIC21" s="199"/>
      <c r="GID21" s="194"/>
      <c r="GIE21" s="194"/>
      <c r="GIF21" s="194"/>
      <c r="GIG21" s="195"/>
      <c r="GIH21" s="195"/>
      <c r="GII21" s="196"/>
      <c r="GIJ21" s="195"/>
      <c r="GIK21" s="197"/>
      <c r="GIL21" s="198"/>
      <c r="GIM21" s="199"/>
      <c r="GIN21" s="194"/>
      <c r="GIO21" s="194"/>
      <c r="GIP21" s="194"/>
      <c r="GIQ21" s="195"/>
      <c r="GIR21" s="195"/>
      <c r="GIS21" s="196"/>
      <c r="GIT21" s="195"/>
      <c r="GIU21" s="197"/>
      <c r="GIV21" s="198"/>
      <c r="GIW21" s="199"/>
      <c r="GIX21" s="194"/>
      <c r="GIY21" s="194"/>
      <c r="GIZ21" s="194"/>
      <c r="GJA21" s="195"/>
      <c r="GJB21" s="195"/>
      <c r="GJC21" s="196"/>
      <c r="GJD21" s="195"/>
      <c r="GJE21" s="197"/>
      <c r="GJF21" s="198"/>
      <c r="GJG21" s="199"/>
      <c r="GJH21" s="194"/>
      <c r="GJI21" s="194"/>
      <c r="GJJ21" s="194"/>
      <c r="GJK21" s="195"/>
      <c r="GJL21" s="195"/>
      <c r="GJM21" s="196"/>
      <c r="GJN21" s="195"/>
      <c r="GJO21" s="197"/>
      <c r="GJP21" s="198"/>
      <c r="GJQ21" s="199"/>
      <c r="GJR21" s="194"/>
      <c r="GJS21" s="194"/>
      <c r="GJT21" s="194"/>
      <c r="GJU21" s="195"/>
      <c r="GJV21" s="195"/>
      <c r="GJW21" s="196"/>
      <c r="GJX21" s="195"/>
      <c r="GJY21" s="197"/>
      <c r="GJZ21" s="198"/>
      <c r="GKA21" s="199"/>
      <c r="GKB21" s="194"/>
      <c r="GKC21" s="194"/>
      <c r="GKD21" s="194"/>
      <c r="GKE21" s="195"/>
      <c r="GKF21" s="195"/>
      <c r="GKG21" s="196"/>
      <c r="GKH21" s="195"/>
      <c r="GKI21" s="197"/>
      <c r="GKJ21" s="198"/>
      <c r="GKK21" s="199"/>
      <c r="GKL21" s="194"/>
      <c r="GKM21" s="194"/>
      <c r="GKN21" s="194"/>
      <c r="GKO21" s="195"/>
      <c r="GKP21" s="195"/>
      <c r="GKQ21" s="196"/>
      <c r="GKR21" s="195"/>
      <c r="GKS21" s="197"/>
      <c r="GKT21" s="198"/>
      <c r="GKU21" s="199"/>
      <c r="GKV21" s="194"/>
      <c r="GKW21" s="194"/>
      <c r="GKX21" s="194"/>
      <c r="GKY21" s="195"/>
      <c r="GKZ21" s="195"/>
      <c r="GLA21" s="196"/>
      <c r="GLB21" s="195"/>
      <c r="GLC21" s="197"/>
      <c r="GLD21" s="198"/>
      <c r="GLE21" s="199"/>
      <c r="GLF21" s="194"/>
      <c r="GLG21" s="194"/>
      <c r="GLH21" s="194"/>
      <c r="GLI21" s="195"/>
      <c r="GLJ21" s="195"/>
      <c r="GLK21" s="196"/>
      <c r="GLL21" s="195"/>
      <c r="GLM21" s="197"/>
      <c r="GLN21" s="198"/>
      <c r="GLO21" s="199"/>
      <c r="GLP21" s="194"/>
      <c r="GLQ21" s="194"/>
      <c r="GLR21" s="194"/>
      <c r="GLS21" s="195"/>
      <c r="GLT21" s="195"/>
      <c r="GLU21" s="196"/>
      <c r="GLV21" s="195"/>
      <c r="GLW21" s="197"/>
      <c r="GLX21" s="198"/>
      <c r="GLY21" s="199"/>
      <c r="GLZ21" s="194"/>
      <c r="GMA21" s="194"/>
      <c r="GMB21" s="194"/>
      <c r="GMC21" s="195"/>
      <c r="GMD21" s="195"/>
      <c r="GME21" s="196"/>
      <c r="GMF21" s="195"/>
      <c r="GMG21" s="197"/>
      <c r="GMH21" s="198"/>
      <c r="GMI21" s="199"/>
      <c r="GMJ21" s="194"/>
      <c r="GMK21" s="194"/>
      <c r="GML21" s="194"/>
      <c r="GMM21" s="195"/>
      <c r="GMN21" s="195"/>
      <c r="GMO21" s="196"/>
      <c r="GMP21" s="195"/>
      <c r="GMQ21" s="197"/>
      <c r="GMR21" s="198"/>
      <c r="GMS21" s="199"/>
      <c r="GMT21" s="194"/>
      <c r="GMU21" s="194"/>
      <c r="GMV21" s="194"/>
      <c r="GMW21" s="195"/>
      <c r="GMX21" s="195"/>
      <c r="GMY21" s="196"/>
      <c r="GMZ21" s="195"/>
      <c r="GNA21" s="197"/>
      <c r="GNB21" s="198"/>
      <c r="GNC21" s="199"/>
      <c r="GND21" s="194"/>
      <c r="GNE21" s="194"/>
      <c r="GNF21" s="194"/>
      <c r="GNG21" s="195"/>
      <c r="GNH21" s="195"/>
      <c r="GNI21" s="196"/>
      <c r="GNJ21" s="195"/>
      <c r="GNK21" s="197"/>
      <c r="GNL21" s="198"/>
      <c r="GNM21" s="199"/>
      <c r="GNN21" s="194"/>
      <c r="GNO21" s="194"/>
      <c r="GNP21" s="194"/>
      <c r="GNQ21" s="195"/>
      <c r="GNR21" s="195"/>
      <c r="GNS21" s="196"/>
      <c r="GNT21" s="195"/>
      <c r="GNU21" s="197"/>
      <c r="GNV21" s="198"/>
      <c r="GNW21" s="199"/>
      <c r="GNX21" s="194"/>
      <c r="GNY21" s="194"/>
      <c r="GNZ21" s="194"/>
      <c r="GOA21" s="195"/>
      <c r="GOB21" s="195"/>
      <c r="GOC21" s="196"/>
      <c r="GOD21" s="195"/>
      <c r="GOE21" s="197"/>
      <c r="GOF21" s="198"/>
      <c r="GOG21" s="199"/>
      <c r="GOH21" s="194"/>
      <c r="GOI21" s="194"/>
      <c r="GOJ21" s="194"/>
      <c r="GOK21" s="195"/>
      <c r="GOL21" s="195"/>
      <c r="GOM21" s="196"/>
      <c r="GON21" s="195"/>
      <c r="GOO21" s="197"/>
      <c r="GOP21" s="198"/>
      <c r="GOQ21" s="199"/>
      <c r="GOR21" s="194"/>
      <c r="GOS21" s="194"/>
      <c r="GOT21" s="194"/>
      <c r="GOU21" s="195"/>
      <c r="GOV21" s="195"/>
      <c r="GOW21" s="196"/>
      <c r="GOX21" s="195"/>
      <c r="GOY21" s="197"/>
      <c r="GOZ21" s="198"/>
      <c r="GPA21" s="199"/>
      <c r="GPB21" s="194"/>
      <c r="GPC21" s="194"/>
      <c r="GPD21" s="194"/>
      <c r="GPE21" s="195"/>
      <c r="GPF21" s="195"/>
      <c r="GPG21" s="196"/>
      <c r="GPH21" s="195"/>
      <c r="GPI21" s="197"/>
      <c r="GPJ21" s="198"/>
      <c r="GPK21" s="199"/>
      <c r="GPL21" s="194"/>
      <c r="GPM21" s="194"/>
      <c r="GPN21" s="194"/>
      <c r="GPO21" s="195"/>
      <c r="GPP21" s="195"/>
      <c r="GPQ21" s="196"/>
      <c r="GPR21" s="195"/>
      <c r="GPS21" s="197"/>
      <c r="GPT21" s="198"/>
      <c r="GPU21" s="199"/>
      <c r="GPV21" s="194"/>
      <c r="GPW21" s="194"/>
      <c r="GPX21" s="194"/>
      <c r="GPY21" s="195"/>
      <c r="GPZ21" s="195"/>
      <c r="GQA21" s="196"/>
      <c r="GQB21" s="195"/>
      <c r="GQC21" s="197"/>
      <c r="GQD21" s="198"/>
      <c r="GQE21" s="199"/>
      <c r="GQF21" s="194"/>
      <c r="GQG21" s="194"/>
      <c r="GQH21" s="194"/>
      <c r="GQI21" s="195"/>
      <c r="GQJ21" s="195"/>
      <c r="GQK21" s="196"/>
      <c r="GQL21" s="195"/>
      <c r="GQM21" s="197"/>
      <c r="GQN21" s="198"/>
      <c r="GQO21" s="199"/>
      <c r="GQP21" s="194"/>
      <c r="GQQ21" s="194"/>
      <c r="GQR21" s="194"/>
      <c r="GQS21" s="195"/>
      <c r="GQT21" s="195"/>
      <c r="GQU21" s="196"/>
      <c r="GQV21" s="195"/>
      <c r="GQW21" s="197"/>
      <c r="GQX21" s="198"/>
      <c r="GQY21" s="199"/>
      <c r="GQZ21" s="194"/>
      <c r="GRA21" s="194"/>
      <c r="GRB21" s="194"/>
      <c r="GRC21" s="195"/>
      <c r="GRD21" s="195"/>
      <c r="GRE21" s="196"/>
      <c r="GRF21" s="195"/>
      <c r="GRG21" s="197"/>
      <c r="GRH21" s="198"/>
      <c r="GRI21" s="199"/>
      <c r="GRJ21" s="194"/>
      <c r="GRK21" s="194"/>
      <c r="GRL21" s="194"/>
      <c r="GRM21" s="195"/>
      <c r="GRN21" s="195"/>
      <c r="GRO21" s="196"/>
      <c r="GRP21" s="195"/>
      <c r="GRQ21" s="197"/>
      <c r="GRR21" s="198"/>
      <c r="GRS21" s="199"/>
      <c r="GRT21" s="194"/>
      <c r="GRU21" s="194"/>
      <c r="GRV21" s="194"/>
      <c r="GRW21" s="195"/>
      <c r="GRX21" s="195"/>
      <c r="GRY21" s="196"/>
      <c r="GRZ21" s="195"/>
      <c r="GSA21" s="197"/>
      <c r="GSB21" s="198"/>
      <c r="GSC21" s="199"/>
      <c r="GSD21" s="194"/>
      <c r="GSE21" s="194"/>
      <c r="GSF21" s="194"/>
      <c r="GSG21" s="195"/>
      <c r="GSH21" s="195"/>
      <c r="GSI21" s="196"/>
      <c r="GSJ21" s="195"/>
      <c r="GSK21" s="197"/>
      <c r="GSL21" s="198"/>
      <c r="GSM21" s="199"/>
      <c r="GSN21" s="194"/>
      <c r="GSO21" s="194"/>
      <c r="GSP21" s="194"/>
      <c r="GSQ21" s="195"/>
      <c r="GSR21" s="195"/>
      <c r="GSS21" s="196"/>
      <c r="GST21" s="195"/>
      <c r="GSU21" s="197"/>
      <c r="GSV21" s="198"/>
      <c r="GSW21" s="199"/>
      <c r="GSX21" s="194"/>
      <c r="GSY21" s="194"/>
      <c r="GSZ21" s="194"/>
      <c r="GTA21" s="195"/>
      <c r="GTB21" s="195"/>
      <c r="GTC21" s="196"/>
      <c r="GTD21" s="195"/>
      <c r="GTE21" s="197"/>
      <c r="GTF21" s="198"/>
      <c r="GTG21" s="199"/>
      <c r="GTH21" s="194"/>
      <c r="GTI21" s="194"/>
      <c r="GTJ21" s="194"/>
      <c r="GTK21" s="195"/>
      <c r="GTL21" s="195"/>
      <c r="GTM21" s="196"/>
      <c r="GTN21" s="195"/>
      <c r="GTO21" s="197"/>
      <c r="GTP21" s="198"/>
      <c r="GTQ21" s="199"/>
      <c r="GTR21" s="194"/>
      <c r="GTS21" s="194"/>
      <c r="GTT21" s="194"/>
      <c r="GTU21" s="195"/>
      <c r="GTV21" s="195"/>
      <c r="GTW21" s="196"/>
      <c r="GTX21" s="195"/>
      <c r="GTY21" s="197"/>
      <c r="GTZ21" s="198"/>
      <c r="GUA21" s="199"/>
      <c r="GUB21" s="194"/>
      <c r="GUC21" s="194"/>
      <c r="GUD21" s="194"/>
      <c r="GUE21" s="195"/>
      <c r="GUF21" s="195"/>
      <c r="GUG21" s="196"/>
      <c r="GUH21" s="195"/>
      <c r="GUI21" s="197"/>
      <c r="GUJ21" s="198"/>
      <c r="GUK21" s="199"/>
      <c r="GUL21" s="194"/>
      <c r="GUM21" s="194"/>
      <c r="GUN21" s="194"/>
      <c r="GUO21" s="195"/>
      <c r="GUP21" s="195"/>
      <c r="GUQ21" s="196"/>
      <c r="GUR21" s="195"/>
      <c r="GUS21" s="197"/>
      <c r="GUT21" s="198"/>
      <c r="GUU21" s="199"/>
      <c r="GUV21" s="194"/>
      <c r="GUW21" s="194"/>
      <c r="GUX21" s="194"/>
      <c r="GUY21" s="195"/>
      <c r="GUZ21" s="195"/>
      <c r="GVA21" s="196"/>
      <c r="GVB21" s="195"/>
      <c r="GVC21" s="197"/>
      <c r="GVD21" s="198"/>
      <c r="GVE21" s="199"/>
      <c r="GVF21" s="194"/>
      <c r="GVG21" s="194"/>
      <c r="GVH21" s="194"/>
      <c r="GVI21" s="195"/>
      <c r="GVJ21" s="195"/>
      <c r="GVK21" s="196"/>
      <c r="GVL21" s="195"/>
      <c r="GVM21" s="197"/>
      <c r="GVN21" s="198"/>
      <c r="GVO21" s="199"/>
      <c r="GVP21" s="194"/>
      <c r="GVQ21" s="194"/>
      <c r="GVR21" s="194"/>
      <c r="GVS21" s="195"/>
      <c r="GVT21" s="195"/>
      <c r="GVU21" s="196"/>
      <c r="GVV21" s="195"/>
      <c r="GVW21" s="197"/>
      <c r="GVX21" s="198"/>
      <c r="GVY21" s="199"/>
      <c r="GVZ21" s="194"/>
      <c r="GWA21" s="194"/>
      <c r="GWB21" s="194"/>
      <c r="GWC21" s="195"/>
      <c r="GWD21" s="195"/>
      <c r="GWE21" s="196"/>
      <c r="GWF21" s="195"/>
      <c r="GWG21" s="197"/>
      <c r="GWH21" s="198"/>
      <c r="GWI21" s="199"/>
      <c r="GWJ21" s="194"/>
      <c r="GWK21" s="194"/>
      <c r="GWL21" s="194"/>
      <c r="GWM21" s="195"/>
      <c r="GWN21" s="195"/>
      <c r="GWO21" s="196"/>
      <c r="GWP21" s="195"/>
      <c r="GWQ21" s="197"/>
      <c r="GWR21" s="198"/>
      <c r="GWS21" s="199"/>
      <c r="GWT21" s="194"/>
      <c r="GWU21" s="194"/>
      <c r="GWV21" s="194"/>
      <c r="GWW21" s="195"/>
      <c r="GWX21" s="195"/>
      <c r="GWY21" s="196"/>
      <c r="GWZ21" s="195"/>
      <c r="GXA21" s="197"/>
      <c r="GXB21" s="198"/>
      <c r="GXC21" s="199"/>
      <c r="GXD21" s="194"/>
      <c r="GXE21" s="194"/>
      <c r="GXF21" s="194"/>
      <c r="GXG21" s="195"/>
      <c r="GXH21" s="195"/>
      <c r="GXI21" s="196"/>
      <c r="GXJ21" s="195"/>
      <c r="GXK21" s="197"/>
      <c r="GXL21" s="198"/>
      <c r="GXM21" s="199"/>
      <c r="GXN21" s="194"/>
      <c r="GXO21" s="194"/>
      <c r="GXP21" s="194"/>
      <c r="GXQ21" s="195"/>
      <c r="GXR21" s="195"/>
      <c r="GXS21" s="196"/>
      <c r="GXT21" s="195"/>
      <c r="GXU21" s="197"/>
      <c r="GXV21" s="198"/>
      <c r="GXW21" s="199"/>
      <c r="GXX21" s="194"/>
      <c r="GXY21" s="194"/>
      <c r="GXZ21" s="194"/>
      <c r="GYA21" s="195"/>
      <c r="GYB21" s="195"/>
      <c r="GYC21" s="196"/>
      <c r="GYD21" s="195"/>
      <c r="GYE21" s="197"/>
      <c r="GYF21" s="198"/>
      <c r="GYG21" s="199"/>
      <c r="GYH21" s="194"/>
      <c r="GYI21" s="194"/>
      <c r="GYJ21" s="194"/>
      <c r="GYK21" s="195"/>
      <c r="GYL21" s="195"/>
      <c r="GYM21" s="196"/>
      <c r="GYN21" s="195"/>
      <c r="GYO21" s="197"/>
      <c r="GYP21" s="198"/>
      <c r="GYQ21" s="199"/>
      <c r="GYR21" s="194"/>
      <c r="GYS21" s="194"/>
      <c r="GYT21" s="194"/>
      <c r="GYU21" s="195"/>
      <c r="GYV21" s="195"/>
      <c r="GYW21" s="196"/>
      <c r="GYX21" s="195"/>
      <c r="GYY21" s="197"/>
      <c r="GYZ21" s="198"/>
      <c r="GZA21" s="199"/>
      <c r="GZB21" s="194"/>
      <c r="GZC21" s="194"/>
      <c r="GZD21" s="194"/>
      <c r="GZE21" s="195"/>
      <c r="GZF21" s="195"/>
      <c r="GZG21" s="196"/>
      <c r="GZH21" s="195"/>
      <c r="GZI21" s="197"/>
      <c r="GZJ21" s="198"/>
      <c r="GZK21" s="199"/>
      <c r="GZL21" s="194"/>
      <c r="GZM21" s="194"/>
      <c r="GZN21" s="194"/>
      <c r="GZO21" s="195"/>
      <c r="GZP21" s="195"/>
      <c r="GZQ21" s="196"/>
      <c r="GZR21" s="195"/>
      <c r="GZS21" s="197"/>
      <c r="GZT21" s="198"/>
      <c r="GZU21" s="199"/>
      <c r="GZV21" s="194"/>
      <c r="GZW21" s="194"/>
      <c r="GZX21" s="194"/>
      <c r="GZY21" s="195"/>
      <c r="GZZ21" s="195"/>
      <c r="HAA21" s="196"/>
      <c r="HAB21" s="195"/>
      <c r="HAC21" s="197"/>
      <c r="HAD21" s="198"/>
      <c r="HAE21" s="199"/>
      <c r="HAF21" s="194"/>
      <c r="HAG21" s="194"/>
      <c r="HAH21" s="194"/>
      <c r="HAI21" s="195"/>
      <c r="HAJ21" s="195"/>
      <c r="HAK21" s="196"/>
      <c r="HAL21" s="195"/>
      <c r="HAM21" s="197"/>
      <c r="HAN21" s="198"/>
      <c r="HAO21" s="199"/>
      <c r="HAP21" s="194"/>
      <c r="HAQ21" s="194"/>
      <c r="HAR21" s="194"/>
      <c r="HAS21" s="195"/>
      <c r="HAT21" s="195"/>
      <c r="HAU21" s="196"/>
      <c r="HAV21" s="195"/>
      <c r="HAW21" s="197"/>
      <c r="HAX21" s="198"/>
      <c r="HAY21" s="199"/>
      <c r="HAZ21" s="194"/>
      <c r="HBA21" s="194"/>
      <c r="HBB21" s="194"/>
      <c r="HBC21" s="195"/>
      <c r="HBD21" s="195"/>
      <c r="HBE21" s="196"/>
      <c r="HBF21" s="195"/>
      <c r="HBG21" s="197"/>
      <c r="HBH21" s="198"/>
      <c r="HBI21" s="199"/>
      <c r="HBJ21" s="194"/>
      <c r="HBK21" s="194"/>
      <c r="HBL21" s="194"/>
      <c r="HBM21" s="195"/>
      <c r="HBN21" s="195"/>
      <c r="HBO21" s="196"/>
      <c r="HBP21" s="195"/>
      <c r="HBQ21" s="197"/>
      <c r="HBR21" s="198"/>
      <c r="HBS21" s="199"/>
      <c r="HBT21" s="194"/>
      <c r="HBU21" s="194"/>
      <c r="HBV21" s="194"/>
      <c r="HBW21" s="195"/>
      <c r="HBX21" s="195"/>
      <c r="HBY21" s="196"/>
      <c r="HBZ21" s="195"/>
      <c r="HCA21" s="197"/>
      <c r="HCB21" s="198"/>
      <c r="HCC21" s="199"/>
      <c r="HCD21" s="194"/>
      <c r="HCE21" s="194"/>
      <c r="HCF21" s="194"/>
      <c r="HCG21" s="195"/>
      <c r="HCH21" s="195"/>
      <c r="HCI21" s="196"/>
      <c r="HCJ21" s="195"/>
      <c r="HCK21" s="197"/>
      <c r="HCL21" s="198"/>
      <c r="HCM21" s="199"/>
      <c r="HCN21" s="194"/>
      <c r="HCO21" s="194"/>
      <c r="HCP21" s="194"/>
      <c r="HCQ21" s="195"/>
      <c r="HCR21" s="195"/>
      <c r="HCS21" s="196"/>
      <c r="HCT21" s="195"/>
      <c r="HCU21" s="197"/>
      <c r="HCV21" s="198"/>
      <c r="HCW21" s="199"/>
      <c r="HCX21" s="194"/>
      <c r="HCY21" s="194"/>
      <c r="HCZ21" s="194"/>
      <c r="HDA21" s="195"/>
      <c r="HDB21" s="195"/>
      <c r="HDC21" s="196"/>
      <c r="HDD21" s="195"/>
      <c r="HDE21" s="197"/>
      <c r="HDF21" s="198"/>
      <c r="HDG21" s="199"/>
      <c r="HDH21" s="194"/>
      <c r="HDI21" s="194"/>
      <c r="HDJ21" s="194"/>
      <c r="HDK21" s="195"/>
      <c r="HDL21" s="195"/>
      <c r="HDM21" s="196"/>
      <c r="HDN21" s="195"/>
      <c r="HDO21" s="197"/>
      <c r="HDP21" s="198"/>
      <c r="HDQ21" s="199"/>
      <c r="HDR21" s="194"/>
      <c r="HDS21" s="194"/>
      <c r="HDT21" s="194"/>
      <c r="HDU21" s="195"/>
      <c r="HDV21" s="195"/>
      <c r="HDW21" s="196"/>
      <c r="HDX21" s="195"/>
      <c r="HDY21" s="197"/>
      <c r="HDZ21" s="198"/>
      <c r="HEA21" s="199"/>
      <c r="HEB21" s="194"/>
      <c r="HEC21" s="194"/>
      <c r="HED21" s="194"/>
      <c r="HEE21" s="195"/>
      <c r="HEF21" s="195"/>
      <c r="HEG21" s="196"/>
      <c r="HEH21" s="195"/>
      <c r="HEI21" s="197"/>
      <c r="HEJ21" s="198"/>
      <c r="HEK21" s="199"/>
      <c r="HEL21" s="194"/>
      <c r="HEM21" s="194"/>
      <c r="HEN21" s="194"/>
      <c r="HEO21" s="195"/>
      <c r="HEP21" s="195"/>
      <c r="HEQ21" s="196"/>
      <c r="HER21" s="195"/>
      <c r="HES21" s="197"/>
      <c r="HET21" s="198"/>
      <c r="HEU21" s="199"/>
      <c r="HEV21" s="194"/>
      <c r="HEW21" s="194"/>
      <c r="HEX21" s="194"/>
      <c r="HEY21" s="195"/>
      <c r="HEZ21" s="195"/>
      <c r="HFA21" s="196"/>
      <c r="HFB21" s="195"/>
      <c r="HFC21" s="197"/>
      <c r="HFD21" s="198"/>
      <c r="HFE21" s="199"/>
      <c r="HFF21" s="194"/>
      <c r="HFG21" s="194"/>
      <c r="HFH21" s="194"/>
      <c r="HFI21" s="195"/>
      <c r="HFJ21" s="195"/>
      <c r="HFK21" s="196"/>
      <c r="HFL21" s="195"/>
      <c r="HFM21" s="197"/>
      <c r="HFN21" s="198"/>
      <c r="HFO21" s="199"/>
      <c r="HFP21" s="194"/>
      <c r="HFQ21" s="194"/>
      <c r="HFR21" s="194"/>
      <c r="HFS21" s="195"/>
      <c r="HFT21" s="195"/>
      <c r="HFU21" s="196"/>
      <c r="HFV21" s="195"/>
      <c r="HFW21" s="197"/>
      <c r="HFX21" s="198"/>
      <c r="HFY21" s="199"/>
      <c r="HFZ21" s="194"/>
      <c r="HGA21" s="194"/>
      <c r="HGB21" s="194"/>
      <c r="HGC21" s="195"/>
      <c r="HGD21" s="195"/>
      <c r="HGE21" s="196"/>
      <c r="HGF21" s="195"/>
      <c r="HGG21" s="197"/>
      <c r="HGH21" s="198"/>
      <c r="HGI21" s="199"/>
      <c r="HGJ21" s="194"/>
      <c r="HGK21" s="194"/>
      <c r="HGL21" s="194"/>
      <c r="HGM21" s="195"/>
      <c r="HGN21" s="195"/>
      <c r="HGO21" s="196"/>
      <c r="HGP21" s="195"/>
      <c r="HGQ21" s="197"/>
      <c r="HGR21" s="198"/>
      <c r="HGS21" s="199"/>
      <c r="HGT21" s="194"/>
      <c r="HGU21" s="194"/>
      <c r="HGV21" s="194"/>
      <c r="HGW21" s="195"/>
      <c r="HGX21" s="195"/>
      <c r="HGY21" s="196"/>
      <c r="HGZ21" s="195"/>
      <c r="HHA21" s="197"/>
      <c r="HHB21" s="198"/>
      <c r="HHC21" s="199"/>
      <c r="HHD21" s="194"/>
      <c r="HHE21" s="194"/>
      <c r="HHF21" s="194"/>
      <c r="HHG21" s="195"/>
      <c r="HHH21" s="195"/>
      <c r="HHI21" s="196"/>
      <c r="HHJ21" s="195"/>
      <c r="HHK21" s="197"/>
      <c r="HHL21" s="198"/>
      <c r="HHM21" s="199"/>
      <c r="HHN21" s="194"/>
      <c r="HHO21" s="194"/>
      <c r="HHP21" s="194"/>
      <c r="HHQ21" s="195"/>
      <c r="HHR21" s="195"/>
      <c r="HHS21" s="196"/>
      <c r="HHT21" s="195"/>
      <c r="HHU21" s="197"/>
      <c r="HHV21" s="198"/>
      <c r="HHW21" s="199"/>
      <c r="HHX21" s="194"/>
      <c r="HHY21" s="194"/>
      <c r="HHZ21" s="194"/>
      <c r="HIA21" s="195"/>
      <c r="HIB21" s="195"/>
      <c r="HIC21" s="196"/>
      <c r="HID21" s="195"/>
      <c r="HIE21" s="197"/>
      <c r="HIF21" s="198"/>
      <c r="HIG21" s="199"/>
      <c r="HIH21" s="194"/>
      <c r="HII21" s="194"/>
      <c r="HIJ21" s="194"/>
      <c r="HIK21" s="195"/>
      <c r="HIL21" s="195"/>
      <c r="HIM21" s="196"/>
      <c r="HIN21" s="195"/>
      <c r="HIO21" s="197"/>
      <c r="HIP21" s="198"/>
      <c r="HIQ21" s="199"/>
      <c r="HIR21" s="194"/>
      <c r="HIS21" s="194"/>
      <c r="HIT21" s="194"/>
      <c r="HIU21" s="195"/>
      <c r="HIV21" s="195"/>
      <c r="HIW21" s="196"/>
      <c r="HIX21" s="195"/>
      <c r="HIY21" s="197"/>
      <c r="HIZ21" s="198"/>
      <c r="HJA21" s="199"/>
      <c r="HJB21" s="194"/>
      <c r="HJC21" s="194"/>
      <c r="HJD21" s="194"/>
      <c r="HJE21" s="195"/>
      <c r="HJF21" s="195"/>
      <c r="HJG21" s="196"/>
      <c r="HJH21" s="195"/>
      <c r="HJI21" s="197"/>
      <c r="HJJ21" s="198"/>
      <c r="HJK21" s="199"/>
      <c r="HJL21" s="194"/>
      <c r="HJM21" s="194"/>
      <c r="HJN21" s="194"/>
      <c r="HJO21" s="195"/>
      <c r="HJP21" s="195"/>
      <c r="HJQ21" s="196"/>
      <c r="HJR21" s="195"/>
      <c r="HJS21" s="197"/>
      <c r="HJT21" s="198"/>
      <c r="HJU21" s="199"/>
      <c r="HJV21" s="194"/>
      <c r="HJW21" s="194"/>
      <c r="HJX21" s="194"/>
      <c r="HJY21" s="195"/>
      <c r="HJZ21" s="195"/>
      <c r="HKA21" s="196"/>
      <c r="HKB21" s="195"/>
      <c r="HKC21" s="197"/>
      <c r="HKD21" s="198"/>
      <c r="HKE21" s="199"/>
      <c r="HKF21" s="194"/>
      <c r="HKG21" s="194"/>
      <c r="HKH21" s="194"/>
      <c r="HKI21" s="195"/>
      <c r="HKJ21" s="195"/>
      <c r="HKK21" s="196"/>
      <c r="HKL21" s="195"/>
      <c r="HKM21" s="197"/>
      <c r="HKN21" s="198"/>
      <c r="HKO21" s="199"/>
      <c r="HKP21" s="194"/>
      <c r="HKQ21" s="194"/>
      <c r="HKR21" s="194"/>
      <c r="HKS21" s="195"/>
      <c r="HKT21" s="195"/>
      <c r="HKU21" s="196"/>
      <c r="HKV21" s="195"/>
      <c r="HKW21" s="197"/>
      <c r="HKX21" s="198"/>
      <c r="HKY21" s="199"/>
      <c r="HKZ21" s="194"/>
      <c r="HLA21" s="194"/>
      <c r="HLB21" s="194"/>
      <c r="HLC21" s="195"/>
      <c r="HLD21" s="195"/>
      <c r="HLE21" s="196"/>
      <c r="HLF21" s="195"/>
      <c r="HLG21" s="197"/>
      <c r="HLH21" s="198"/>
      <c r="HLI21" s="199"/>
      <c r="HLJ21" s="194"/>
      <c r="HLK21" s="194"/>
      <c r="HLL21" s="194"/>
      <c r="HLM21" s="195"/>
      <c r="HLN21" s="195"/>
      <c r="HLO21" s="196"/>
      <c r="HLP21" s="195"/>
      <c r="HLQ21" s="197"/>
      <c r="HLR21" s="198"/>
      <c r="HLS21" s="199"/>
      <c r="HLT21" s="194"/>
      <c r="HLU21" s="194"/>
      <c r="HLV21" s="194"/>
      <c r="HLW21" s="195"/>
      <c r="HLX21" s="195"/>
      <c r="HLY21" s="196"/>
      <c r="HLZ21" s="195"/>
      <c r="HMA21" s="197"/>
      <c r="HMB21" s="198"/>
      <c r="HMC21" s="199"/>
      <c r="HMD21" s="194"/>
      <c r="HME21" s="194"/>
      <c r="HMF21" s="194"/>
      <c r="HMG21" s="195"/>
      <c r="HMH21" s="195"/>
      <c r="HMI21" s="196"/>
      <c r="HMJ21" s="195"/>
      <c r="HMK21" s="197"/>
      <c r="HML21" s="198"/>
      <c r="HMM21" s="199"/>
      <c r="HMN21" s="194"/>
      <c r="HMO21" s="194"/>
      <c r="HMP21" s="194"/>
      <c r="HMQ21" s="195"/>
      <c r="HMR21" s="195"/>
      <c r="HMS21" s="196"/>
      <c r="HMT21" s="195"/>
      <c r="HMU21" s="197"/>
      <c r="HMV21" s="198"/>
      <c r="HMW21" s="199"/>
      <c r="HMX21" s="194"/>
      <c r="HMY21" s="194"/>
      <c r="HMZ21" s="194"/>
      <c r="HNA21" s="195"/>
      <c r="HNB21" s="195"/>
      <c r="HNC21" s="196"/>
      <c r="HND21" s="195"/>
      <c r="HNE21" s="197"/>
      <c r="HNF21" s="198"/>
      <c r="HNG21" s="199"/>
      <c r="HNH21" s="194"/>
      <c r="HNI21" s="194"/>
      <c r="HNJ21" s="194"/>
      <c r="HNK21" s="195"/>
      <c r="HNL21" s="195"/>
      <c r="HNM21" s="196"/>
      <c r="HNN21" s="195"/>
      <c r="HNO21" s="197"/>
      <c r="HNP21" s="198"/>
      <c r="HNQ21" s="199"/>
      <c r="HNR21" s="194"/>
      <c r="HNS21" s="194"/>
      <c r="HNT21" s="194"/>
      <c r="HNU21" s="195"/>
      <c r="HNV21" s="195"/>
      <c r="HNW21" s="196"/>
      <c r="HNX21" s="195"/>
      <c r="HNY21" s="197"/>
      <c r="HNZ21" s="198"/>
      <c r="HOA21" s="199"/>
      <c r="HOB21" s="194"/>
      <c r="HOC21" s="194"/>
      <c r="HOD21" s="194"/>
      <c r="HOE21" s="195"/>
      <c r="HOF21" s="195"/>
      <c r="HOG21" s="196"/>
      <c r="HOH21" s="195"/>
      <c r="HOI21" s="197"/>
      <c r="HOJ21" s="198"/>
      <c r="HOK21" s="199"/>
      <c r="HOL21" s="194"/>
      <c r="HOM21" s="194"/>
      <c r="HON21" s="194"/>
      <c r="HOO21" s="195"/>
      <c r="HOP21" s="195"/>
      <c r="HOQ21" s="196"/>
      <c r="HOR21" s="195"/>
      <c r="HOS21" s="197"/>
      <c r="HOT21" s="198"/>
      <c r="HOU21" s="199"/>
      <c r="HOV21" s="194"/>
      <c r="HOW21" s="194"/>
      <c r="HOX21" s="194"/>
      <c r="HOY21" s="195"/>
      <c r="HOZ21" s="195"/>
      <c r="HPA21" s="196"/>
      <c r="HPB21" s="195"/>
      <c r="HPC21" s="197"/>
      <c r="HPD21" s="198"/>
      <c r="HPE21" s="199"/>
      <c r="HPF21" s="194"/>
      <c r="HPG21" s="194"/>
      <c r="HPH21" s="194"/>
      <c r="HPI21" s="195"/>
      <c r="HPJ21" s="195"/>
      <c r="HPK21" s="196"/>
      <c r="HPL21" s="195"/>
      <c r="HPM21" s="197"/>
      <c r="HPN21" s="198"/>
      <c r="HPO21" s="199"/>
      <c r="HPP21" s="194"/>
      <c r="HPQ21" s="194"/>
      <c r="HPR21" s="194"/>
      <c r="HPS21" s="195"/>
      <c r="HPT21" s="195"/>
      <c r="HPU21" s="196"/>
      <c r="HPV21" s="195"/>
      <c r="HPW21" s="197"/>
      <c r="HPX21" s="198"/>
      <c r="HPY21" s="199"/>
      <c r="HPZ21" s="194"/>
      <c r="HQA21" s="194"/>
      <c r="HQB21" s="194"/>
      <c r="HQC21" s="195"/>
      <c r="HQD21" s="195"/>
      <c r="HQE21" s="196"/>
      <c r="HQF21" s="195"/>
      <c r="HQG21" s="197"/>
      <c r="HQH21" s="198"/>
      <c r="HQI21" s="199"/>
      <c r="HQJ21" s="194"/>
      <c r="HQK21" s="194"/>
      <c r="HQL21" s="194"/>
      <c r="HQM21" s="195"/>
      <c r="HQN21" s="195"/>
      <c r="HQO21" s="196"/>
      <c r="HQP21" s="195"/>
      <c r="HQQ21" s="197"/>
      <c r="HQR21" s="198"/>
      <c r="HQS21" s="199"/>
      <c r="HQT21" s="194"/>
      <c r="HQU21" s="194"/>
      <c r="HQV21" s="194"/>
      <c r="HQW21" s="195"/>
      <c r="HQX21" s="195"/>
      <c r="HQY21" s="196"/>
      <c r="HQZ21" s="195"/>
      <c r="HRA21" s="197"/>
      <c r="HRB21" s="198"/>
      <c r="HRC21" s="199"/>
      <c r="HRD21" s="194"/>
      <c r="HRE21" s="194"/>
      <c r="HRF21" s="194"/>
      <c r="HRG21" s="195"/>
      <c r="HRH21" s="195"/>
      <c r="HRI21" s="196"/>
      <c r="HRJ21" s="195"/>
      <c r="HRK21" s="197"/>
      <c r="HRL21" s="198"/>
      <c r="HRM21" s="199"/>
      <c r="HRN21" s="194"/>
      <c r="HRO21" s="194"/>
      <c r="HRP21" s="194"/>
      <c r="HRQ21" s="195"/>
      <c r="HRR21" s="195"/>
      <c r="HRS21" s="196"/>
      <c r="HRT21" s="195"/>
      <c r="HRU21" s="197"/>
      <c r="HRV21" s="198"/>
      <c r="HRW21" s="199"/>
      <c r="HRX21" s="194"/>
      <c r="HRY21" s="194"/>
      <c r="HRZ21" s="194"/>
      <c r="HSA21" s="195"/>
      <c r="HSB21" s="195"/>
      <c r="HSC21" s="196"/>
      <c r="HSD21" s="195"/>
      <c r="HSE21" s="197"/>
      <c r="HSF21" s="198"/>
      <c r="HSG21" s="199"/>
      <c r="HSH21" s="194"/>
      <c r="HSI21" s="194"/>
      <c r="HSJ21" s="194"/>
      <c r="HSK21" s="195"/>
      <c r="HSL21" s="195"/>
      <c r="HSM21" s="196"/>
      <c r="HSN21" s="195"/>
      <c r="HSO21" s="197"/>
      <c r="HSP21" s="198"/>
      <c r="HSQ21" s="199"/>
      <c r="HSR21" s="194"/>
      <c r="HSS21" s="194"/>
      <c r="HST21" s="194"/>
      <c r="HSU21" s="195"/>
      <c r="HSV21" s="195"/>
      <c r="HSW21" s="196"/>
      <c r="HSX21" s="195"/>
      <c r="HSY21" s="197"/>
      <c r="HSZ21" s="198"/>
      <c r="HTA21" s="199"/>
      <c r="HTB21" s="194"/>
      <c r="HTC21" s="194"/>
      <c r="HTD21" s="194"/>
      <c r="HTE21" s="195"/>
      <c r="HTF21" s="195"/>
      <c r="HTG21" s="196"/>
      <c r="HTH21" s="195"/>
      <c r="HTI21" s="197"/>
      <c r="HTJ21" s="198"/>
      <c r="HTK21" s="199"/>
      <c r="HTL21" s="194"/>
      <c r="HTM21" s="194"/>
      <c r="HTN21" s="194"/>
      <c r="HTO21" s="195"/>
      <c r="HTP21" s="195"/>
      <c r="HTQ21" s="196"/>
      <c r="HTR21" s="195"/>
      <c r="HTS21" s="197"/>
      <c r="HTT21" s="198"/>
      <c r="HTU21" s="199"/>
      <c r="HTV21" s="194"/>
      <c r="HTW21" s="194"/>
      <c r="HTX21" s="194"/>
      <c r="HTY21" s="195"/>
      <c r="HTZ21" s="195"/>
      <c r="HUA21" s="196"/>
      <c r="HUB21" s="195"/>
      <c r="HUC21" s="197"/>
      <c r="HUD21" s="198"/>
      <c r="HUE21" s="199"/>
      <c r="HUF21" s="194"/>
      <c r="HUG21" s="194"/>
      <c r="HUH21" s="194"/>
      <c r="HUI21" s="195"/>
      <c r="HUJ21" s="195"/>
      <c r="HUK21" s="196"/>
      <c r="HUL21" s="195"/>
      <c r="HUM21" s="197"/>
      <c r="HUN21" s="198"/>
      <c r="HUO21" s="199"/>
      <c r="HUP21" s="194"/>
      <c r="HUQ21" s="194"/>
      <c r="HUR21" s="194"/>
      <c r="HUS21" s="195"/>
      <c r="HUT21" s="195"/>
      <c r="HUU21" s="196"/>
      <c r="HUV21" s="195"/>
      <c r="HUW21" s="197"/>
      <c r="HUX21" s="198"/>
      <c r="HUY21" s="199"/>
      <c r="HUZ21" s="194"/>
      <c r="HVA21" s="194"/>
      <c r="HVB21" s="194"/>
      <c r="HVC21" s="195"/>
      <c r="HVD21" s="195"/>
      <c r="HVE21" s="196"/>
      <c r="HVF21" s="195"/>
      <c r="HVG21" s="197"/>
      <c r="HVH21" s="198"/>
      <c r="HVI21" s="199"/>
      <c r="HVJ21" s="194"/>
      <c r="HVK21" s="194"/>
      <c r="HVL21" s="194"/>
      <c r="HVM21" s="195"/>
      <c r="HVN21" s="195"/>
      <c r="HVO21" s="196"/>
      <c r="HVP21" s="195"/>
      <c r="HVQ21" s="197"/>
      <c r="HVR21" s="198"/>
      <c r="HVS21" s="199"/>
      <c r="HVT21" s="194"/>
      <c r="HVU21" s="194"/>
      <c r="HVV21" s="194"/>
      <c r="HVW21" s="195"/>
      <c r="HVX21" s="195"/>
      <c r="HVY21" s="196"/>
      <c r="HVZ21" s="195"/>
      <c r="HWA21" s="197"/>
      <c r="HWB21" s="198"/>
      <c r="HWC21" s="199"/>
      <c r="HWD21" s="194"/>
      <c r="HWE21" s="194"/>
      <c r="HWF21" s="194"/>
      <c r="HWG21" s="195"/>
      <c r="HWH21" s="195"/>
      <c r="HWI21" s="196"/>
      <c r="HWJ21" s="195"/>
      <c r="HWK21" s="197"/>
      <c r="HWL21" s="198"/>
      <c r="HWM21" s="199"/>
      <c r="HWN21" s="194"/>
      <c r="HWO21" s="194"/>
      <c r="HWP21" s="194"/>
      <c r="HWQ21" s="195"/>
      <c r="HWR21" s="195"/>
      <c r="HWS21" s="196"/>
      <c r="HWT21" s="195"/>
      <c r="HWU21" s="197"/>
      <c r="HWV21" s="198"/>
      <c r="HWW21" s="199"/>
      <c r="HWX21" s="194"/>
      <c r="HWY21" s="194"/>
      <c r="HWZ21" s="194"/>
      <c r="HXA21" s="195"/>
      <c r="HXB21" s="195"/>
      <c r="HXC21" s="196"/>
      <c r="HXD21" s="195"/>
      <c r="HXE21" s="197"/>
      <c r="HXF21" s="198"/>
      <c r="HXG21" s="199"/>
      <c r="HXH21" s="194"/>
      <c r="HXI21" s="194"/>
      <c r="HXJ21" s="194"/>
      <c r="HXK21" s="195"/>
      <c r="HXL21" s="195"/>
      <c r="HXM21" s="196"/>
      <c r="HXN21" s="195"/>
      <c r="HXO21" s="197"/>
      <c r="HXP21" s="198"/>
      <c r="HXQ21" s="199"/>
      <c r="HXR21" s="194"/>
      <c r="HXS21" s="194"/>
      <c r="HXT21" s="194"/>
      <c r="HXU21" s="195"/>
      <c r="HXV21" s="195"/>
      <c r="HXW21" s="196"/>
      <c r="HXX21" s="195"/>
      <c r="HXY21" s="197"/>
      <c r="HXZ21" s="198"/>
      <c r="HYA21" s="199"/>
      <c r="HYB21" s="194"/>
      <c r="HYC21" s="194"/>
      <c r="HYD21" s="194"/>
      <c r="HYE21" s="195"/>
      <c r="HYF21" s="195"/>
      <c r="HYG21" s="196"/>
      <c r="HYH21" s="195"/>
      <c r="HYI21" s="197"/>
      <c r="HYJ21" s="198"/>
      <c r="HYK21" s="199"/>
      <c r="HYL21" s="194"/>
      <c r="HYM21" s="194"/>
      <c r="HYN21" s="194"/>
      <c r="HYO21" s="195"/>
      <c r="HYP21" s="195"/>
      <c r="HYQ21" s="196"/>
      <c r="HYR21" s="195"/>
      <c r="HYS21" s="197"/>
      <c r="HYT21" s="198"/>
      <c r="HYU21" s="199"/>
      <c r="HYV21" s="194"/>
      <c r="HYW21" s="194"/>
      <c r="HYX21" s="194"/>
      <c r="HYY21" s="195"/>
      <c r="HYZ21" s="195"/>
      <c r="HZA21" s="196"/>
      <c r="HZB21" s="195"/>
      <c r="HZC21" s="197"/>
      <c r="HZD21" s="198"/>
      <c r="HZE21" s="199"/>
      <c r="HZF21" s="194"/>
      <c r="HZG21" s="194"/>
      <c r="HZH21" s="194"/>
      <c r="HZI21" s="195"/>
      <c r="HZJ21" s="195"/>
      <c r="HZK21" s="196"/>
      <c r="HZL21" s="195"/>
      <c r="HZM21" s="197"/>
      <c r="HZN21" s="198"/>
      <c r="HZO21" s="199"/>
      <c r="HZP21" s="194"/>
      <c r="HZQ21" s="194"/>
      <c r="HZR21" s="194"/>
      <c r="HZS21" s="195"/>
      <c r="HZT21" s="195"/>
      <c r="HZU21" s="196"/>
      <c r="HZV21" s="195"/>
      <c r="HZW21" s="197"/>
      <c r="HZX21" s="198"/>
      <c r="HZY21" s="199"/>
      <c r="HZZ21" s="194"/>
      <c r="IAA21" s="194"/>
      <c r="IAB21" s="194"/>
      <c r="IAC21" s="195"/>
      <c r="IAD21" s="195"/>
      <c r="IAE21" s="196"/>
      <c r="IAF21" s="195"/>
      <c r="IAG21" s="197"/>
      <c r="IAH21" s="198"/>
      <c r="IAI21" s="199"/>
      <c r="IAJ21" s="194"/>
      <c r="IAK21" s="194"/>
      <c r="IAL21" s="194"/>
      <c r="IAM21" s="195"/>
      <c r="IAN21" s="195"/>
      <c r="IAO21" s="196"/>
      <c r="IAP21" s="195"/>
      <c r="IAQ21" s="197"/>
      <c r="IAR21" s="198"/>
      <c r="IAS21" s="199"/>
      <c r="IAT21" s="194"/>
      <c r="IAU21" s="194"/>
      <c r="IAV21" s="194"/>
      <c r="IAW21" s="195"/>
      <c r="IAX21" s="195"/>
      <c r="IAY21" s="196"/>
      <c r="IAZ21" s="195"/>
      <c r="IBA21" s="197"/>
      <c r="IBB21" s="198"/>
      <c r="IBC21" s="199"/>
      <c r="IBD21" s="194"/>
      <c r="IBE21" s="194"/>
      <c r="IBF21" s="194"/>
      <c r="IBG21" s="195"/>
      <c r="IBH21" s="195"/>
      <c r="IBI21" s="196"/>
      <c r="IBJ21" s="195"/>
      <c r="IBK21" s="197"/>
      <c r="IBL21" s="198"/>
      <c r="IBM21" s="199"/>
      <c r="IBN21" s="194"/>
      <c r="IBO21" s="194"/>
      <c r="IBP21" s="194"/>
      <c r="IBQ21" s="195"/>
      <c r="IBR21" s="195"/>
      <c r="IBS21" s="196"/>
      <c r="IBT21" s="195"/>
      <c r="IBU21" s="197"/>
      <c r="IBV21" s="198"/>
      <c r="IBW21" s="199"/>
      <c r="IBX21" s="194"/>
      <c r="IBY21" s="194"/>
      <c r="IBZ21" s="194"/>
      <c r="ICA21" s="195"/>
      <c r="ICB21" s="195"/>
      <c r="ICC21" s="196"/>
      <c r="ICD21" s="195"/>
      <c r="ICE21" s="197"/>
      <c r="ICF21" s="198"/>
      <c r="ICG21" s="199"/>
      <c r="ICH21" s="194"/>
      <c r="ICI21" s="194"/>
      <c r="ICJ21" s="194"/>
      <c r="ICK21" s="195"/>
      <c r="ICL21" s="195"/>
      <c r="ICM21" s="196"/>
      <c r="ICN21" s="195"/>
      <c r="ICO21" s="197"/>
      <c r="ICP21" s="198"/>
      <c r="ICQ21" s="199"/>
      <c r="ICR21" s="194"/>
      <c r="ICS21" s="194"/>
      <c r="ICT21" s="200"/>
      <c r="ICU21" s="145"/>
      <c r="ICV21" s="201"/>
      <c r="ICW21" s="189"/>
      <c r="ICX21" s="188"/>
      <c r="ICY21" s="190"/>
      <c r="ICZ21" s="191"/>
      <c r="IDA21" s="192"/>
      <c r="IDB21" s="187"/>
      <c r="IDC21" s="187"/>
      <c r="IDD21" s="187"/>
      <c r="IDE21" s="188"/>
      <c r="IDF21" s="188"/>
      <c r="IDG21" s="189"/>
      <c r="IDH21" s="188"/>
      <c r="IDI21" s="190"/>
      <c r="IDJ21" s="191"/>
      <c r="IDK21" s="192"/>
      <c r="IDL21" s="187"/>
      <c r="IDM21" s="187"/>
      <c r="IDN21" s="187"/>
      <c r="IDO21" s="188"/>
      <c r="IDP21" s="188"/>
      <c r="IDQ21" s="189"/>
      <c r="IDR21" s="188"/>
      <c r="IDS21" s="190"/>
      <c r="IDT21" s="191"/>
      <c r="IDU21" s="192"/>
      <c r="IDV21" s="187"/>
      <c r="IDW21" s="187"/>
      <c r="IDX21" s="187"/>
      <c r="IDY21" s="188"/>
      <c r="IDZ21" s="188"/>
      <c r="IEA21" s="189"/>
      <c r="IEB21" s="188"/>
      <c r="IEC21" s="190"/>
      <c r="IED21" s="191"/>
      <c r="IEE21" s="192"/>
      <c r="IEF21" s="187"/>
      <c r="IEG21" s="187"/>
      <c r="IEH21" s="187"/>
      <c r="IEI21" s="188"/>
      <c r="IEJ21" s="188"/>
      <c r="IEK21" s="189"/>
      <c r="IEL21" s="188"/>
      <c r="IEM21" s="190"/>
      <c r="IEN21" s="191"/>
      <c r="IEO21" s="192"/>
      <c r="IEP21" s="187"/>
      <c r="IEQ21" s="187"/>
      <c r="IER21" s="187"/>
      <c r="IES21" s="188"/>
      <c r="IET21" s="188"/>
      <c r="IEU21" s="189"/>
      <c r="IEV21" s="188"/>
      <c r="IEW21" s="190"/>
      <c r="IEX21" s="191"/>
      <c r="IEY21" s="192"/>
      <c r="IEZ21" s="187"/>
      <c r="IFA21" s="187"/>
      <c r="IFB21" s="187"/>
      <c r="IFC21" s="188"/>
      <c r="IFD21" s="188"/>
      <c r="IFE21" s="189"/>
      <c r="IFF21" s="188"/>
      <c r="IFG21" s="190"/>
      <c r="IFH21" s="191"/>
      <c r="IFI21" s="192"/>
      <c r="IFJ21" s="187"/>
      <c r="IFK21" s="187"/>
      <c r="IFL21" s="187"/>
      <c r="IFM21" s="188"/>
      <c r="IFN21" s="188"/>
      <c r="IFO21" s="189"/>
      <c r="IFP21" s="188"/>
      <c r="IFQ21" s="190"/>
      <c r="IFR21" s="191"/>
      <c r="IFS21" s="192"/>
      <c r="IFT21" s="187"/>
      <c r="IFU21" s="187"/>
      <c r="IFV21" s="187"/>
      <c r="IFW21" s="188"/>
      <c r="IFX21" s="188"/>
      <c r="IFY21" s="189"/>
      <c r="IFZ21" s="188"/>
      <c r="IGA21" s="190"/>
      <c r="IGB21" s="191"/>
      <c r="IGC21" s="192"/>
      <c r="IGD21" s="187"/>
      <c r="IGE21" s="187"/>
      <c r="IGF21" s="187"/>
      <c r="IGG21" s="188"/>
      <c r="IGH21" s="188"/>
      <c r="IGI21" s="189"/>
      <c r="IGJ21" s="188"/>
      <c r="IGK21" s="190"/>
      <c r="IGL21" s="191"/>
      <c r="IGM21" s="192"/>
      <c r="IGN21" s="187"/>
      <c r="IGO21" s="187"/>
      <c r="IGP21" s="187"/>
      <c r="IGQ21" s="188"/>
      <c r="IGR21" s="188"/>
      <c r="IGS21" s="189"/>
      <c r="IGT21" s="188"/>
      <c r="IGU21" s="190"/>
      <c r="IGV21" s="191"/>
      <c r="IGW21" s="192"/>
      <c r="IGX21" s="187"/>
      <c r="IGY21" s="187"/>
      <c r="IGZ21" s="187"/>
      <c r="IHA21" s="188"/>
      <c r="IHB21" s="188"/>
      <c r="IHC21" s="189"/>
      <c r="IHD21" s="188"/>
      <c r="IHE21" s="190"/>
      <c r="IHF21" s="191"/>
      <c r="IHG21" s="192"/>
      <c r="IHH21" s="187"/>
      <c r="IHI21" s="187"/>
      <c r="IHJ21" s="187"/>
      <c r="IHK21" s="188"/>
      <c r="IHL21" s="188"/>
      <c r="IHM21" s="189"/>
      <c r="IHN21" s="188"/>
      <c r="IHO21" s="190"/>
      <c r="IHP21" s="191"/>
      <c r="IHQ21" s="192"/>
      <c r="IHR21" s="187"/>
      <c r="IHS21" s="187"/>
      <c r="IHT21" s="187"/>
      <c r="IHU21" s="188"/>
      <c r="IHV21" s="188"/>
      <c r="IHW21" s="189"/>
      <c r="IHX21" s="188"/>
      <c r="IHY21" s="190"/>
      <c r="IHZ21" s="191"/>
      <c r="IIA21" s="192"/>
      <c r="IIB21" s="187"/>
      <c r="IIC21" s="187"/>
      <c r="IID21" s="187"/>
      <c r="IIE21" s="188"/>
      <c r="IIF21" s="188"/>
      <c r="IIG21" s="189"/>
      <c r="IIH21" s="188"/>
      <c r="III21" s="190"/>
      <c r="IIJ21" s="191"/>
      <c r="IIK21" s="192"/>
      <c r="IIL21" s="187"/>
      <c r="IIM21" s="187"/>
      <c r="IIN21" s="187"/>
      <c r="IIO21" s="188"/>
      <c r="IIP21" s="188"/>
      <c r="IIQ21" s="189"/>
      <c r="IIR21" s="188"/>
      <c r="IIS21" s="190"/>
      <c r="IIT21" s="191"/>
      <c r="IIU21" s="192"/>
      <c r="IIV21" s="187"/>
      <c r="IIW21" s="187"/>
      <c r="IIX21" s="187"/>
      <c r="IIY21" s="188"/>
      <c r="IIZ21" s="188"/>
      <c r="IJA21" s="189"/>
      <c r="IJB21" s="188"/>
      <c r="IJC21" s="190"/>
      <c r="IJD21" s="191"/>
      <c r="IJE21" s="192"/>
      <c r="IJF21" s="187"/>
      <c r="IJG21" s="187"/>
      <c r="IJH21" s="187"/>
      <c r="IJI21" s="188"/>
      <c r="IJJ21" s="188"/>
      <c r="IJK21" s="189"/>
      <c r="IJL21" s="188"/>
      <c r="IJM21" s="190"/>
      <c r="IJN21" s="191"/>
      <c r="IJO21" s="192"/>
      <c r="IJP21" s="187"/>
      <c r="IJQ21" s="187"/>
      <c r="IJR21" s="187"/>
      <c r="IJS21" s="188"/>
      <c r="IJT21" s="188"/>
      <c r="IJU21" s="189"/>
      <c r="IJV21" s="188"/>
      <c r="IJW21" s="190"/>
      <c r="IJX21" s="191"/>
      <c r="IJY21" s="192"/>
      <c r="IJZ21" s="187"/>
      <c r="IKA21" s="187"/>
      <c r="IKB21" s="187"/>
      <c r="IKC21" s="188"/>
      <c r="IKD21" s="188"/>
      <c r="IKE21" s="189"/>
      <c r="IKF21" s="188"/>
      <c r="IKG21" s="190"/>
      <c r="IKH21" s="191"/>
      <c r="IKI21" s="192"/>
      <c r="IKJ21" s="187"/>
      <c r="IKK21" s="187"/>
      <c r="IKL21" s="187"/>
      <c r="IKM21" s="188"/>
      <c r="IKN21" s="188"/>
      <c r="IKO21" s="189"/>
      <c r="IKP21" s="188"/>
      <c r="IKQ21" s="190"/>
      <c r="IKR21" s="191"/>
      <c r="IKS21" s="192"/>
      <c r="IKT21" s="187"/>
      <c r="IKU21" s="187"/>
      <c r="IKV21" s="187"/>
      <c r="IKW21" s="188"/>
      <c r="IKX21" s="188"/>
      <c r="IKY21" s="189"/>
      <c r="IKZ21" s="188"/>
      <c r="ILA21" s="190"/>
      <c r="ILB21" s="191"/>
      <c r="ILC21" s="192"/>
      <c r="ILD21" s="187"/>
      <c r="ILE21" s="187"/>
      <c r="ILF21" s="187"/>
      <c r="ILG21" s="188"/>
      <c r="ILH21" s="188"/>
      <c r="ILI21" s="189"/>
      <c r="ILJ21" s="188"/>
      <c r="ILK21" s="190"/>
      <c r="ILL21" s="191"/>
      <c r="ILM21" s="192"/>
      <c r="ILN21" s="187"/>
      <c r="ILO21" s="187"/>
      <c r="ILP21" s="187"/>
      <c r="ILQ21" s="188"/>
      <c r="ILR21" s="188"/>
      <c r="ILS21" s="189"/>
      <c r="ILT21" s="188"/>
      <c r="ILU21" s="190"/>
      <c r="ILV21" s="191"/>
      <c r="ILW21" s="192"/>
      <c r="ILX21" s="187"/>
      <c r="ILY21" s="187"/>
      <c r="ILZ21" s="187"/>
      <c r="IMA21" s="188"/>
      <c r="IMB21" s="188"/>
      <c r="IMC21" s="189"/>
      <c r="IMD21" s="188"/>
      <c r="IME21" s="190"/>
      <c r="IMF21" s="191"/>
      <c r="IMG21" s="192"/>
      <c r="IMH21" s="187"/>
      <c r="IMI21" s="187"/>
      <c r="IMJ21" s="187"/>
      <c r="IMK21" s="188"/>
      <c r="IML21" s="188"/>
      <c r="IMM21" s="189"/>
      <c r="IMN21" s="188"/>
      <c r="IMO21" s="190"/>
      <c r="IMP21" s="191"/>
      <c r="IMQ21" s="192"/>
      <c r="IMR21" s="187"/>
      <c r="IMS21" s="187"/>
      <c r="IMT21" s="187"/>
      <c r="IMU21" s="188"/>
      <c r="IMV21" s="188"/>
      <c r="IMW21" s="189"/>
      <c r="IMX21" s="188"/>
      <c r="IMY21" s="190"/>
      <c r="IMZ21" s="191"/>
      <c r="INA21" s="192"/>
      <c r="INB21" s="187"/>
      <c r="INC21" s="187"/>
      <c r="IND21" s="187"/>
      <c r="INE21" s="188"/>
      <c r="INF21" s="188"/>
      <c r="ING21" s="189"/>
      <c r="INH21" s="188"/>
      <c r="INI21" s="190"/>
      <c r="INJ21" s="191"/>
      <c r="INK21" s="192"/>
      <c r="INL21" s="187"/>
      <c r="INM21" s="187"/>
      <c r="INN21" s="187"/>
      <c r="INO21" s="188"/>
      <c r="INP21" s="188"/>
      <c r="INQ21" s="189"/>
      <c r="INR21" s="188"/>
      <c r="INS21" s="190"/>
      <c r="INT21" s="191"/>
      <c r="INU21" s="192"/>
      <c r="INV21" s="187"/>
      <c r="INW21" s="187"/>
      <c r="INX21" s="187"/>
      <c r="INY21" s="188"/>
      <c r="INZ21" s="188"/>
      <c r="IOA21" s="189"/>
      <c r="IOB21" s="188"/>
      <c r="IOC21" s="190"/>
      <c r="IOD21" s="191"/>
      <c r="IOE21" s="192"/>
      <c r="IOF21" s="187"/>
      <c r="IOG21" s="187"/>
      <c r="IOH21" s="187"/>
      <c r="IOI21" s="188"/>
      <c r="IOJ21" s="188"/>
      <c r="IOK21" s="189"/>
      <c r="IOL21" s="188"/>
      <c r="IOM21" s="190"/>
      <c r="ION21" s="191"/>
      <c r="IOO21" s="192"/>
      <c r="IOP21" s="187"/>
      <c r="IOQ21" s="187"/>
      <c r="IOR21" s="187"/>
      <c r="IOS21" s="188"/>
      <c r="IOT21" s="188"/>
      <c r="IOU21" s="189"/>
      <c r="IOV21" s="188"/>
      <c r="IOW21" s="190"/>
      <c r="IOX21" s="191"/>
      <c r="IOY21" s="192"/>
      <c r="IOZ21" s="187"/>
      <c r="IPA21" s="187"/>
      <c r="IPB21" s="187"/>
      <c r="IPC21" s="188"/>
      <c r="IPD21" s="188"/>
      <c r="IPE21" s="189"/>
      <c r="IPF21" s="188"/>
      <c r="IPG21" s="190"/>
      <c r="IPH21" s="191"/>
      <c r="IPI21" s="192"/>
      <c r="IPJ21" s="187"/>
      <c r="IPK21" s="187"/>
      <c r="IPL21" s="187"/>
      <c r="IPM21" s="188"/>
      <c r="IPN21" s="188"/>
      <c r="IPO21" s="189"/>
      <c r="IPP21" s="188"/>
      <c r="IPQ21" s="190"/>
      <c r="IPR21" s="191"/>
      <c r="IPS21" s="192"/>
      <c r="IPT21" s="187"/>
      <c r="IPU21" s="187"/>
      <c r="IPV21" s="187"/>
      <c r="IPW21" s="188"/>
      <c r="IPX21" s="188"/>
      <c r="IPY21" s="189"/>
      <c r="IPZ21" s="188"/>
      <c r="IQA21" s="190"/>
      <c r="IQB21" s="191"/>
      <c r="IQC21" s="192"/>
      <c r="IQD21" s="187"/>
      <c r="IQE21" s="187"/>
      <c r="IQF21" s="187"/>
      <c r="IQG21" s="188"/>
      <c r="IQH21" s="188"/>
      <c r="IQI21" s="189"/>
      <c r="IQJ21" s="188"/>
      <c r="IQK21" s="190"/>
      <c r="IQL21" s="191"/>
      <c r="IQM21" s="192"/>
      <c r="IQN21" s="187"/>
      <c r="IQO21" s="187"/>
      <c r="IQP21" s="187"/>
      <c r="IQQ21" s="188"/>
      <c r="IQR21" s="188"/>
      <c r="IQS21" s="189"/>
      <c r="IQT21" s="188"/>
      <c r="IQU21" s="190"/>
      <c r="IQV21" s="191"/>
      <c r="IQW21" s="192"/>
      <c r="IQX21" s="187"/>
      <c r="IQY21" s="187"/>
      <c r="IQZ21" s="187"/>
      <c r="IRA21" s="188"/>
      <c r="IRB21" s="188"/>
      <c r="IRC21" s="189"/>
      <c r="IRD21" s="188"/>
      <c r="IRE21" s="190"/>
      <c r="IRF21" s="191"/>
      <c r="IRG21" s="192"/>
      <c r="IRH21" s="187"/>
      <c r="IRI21" s="187"/>
      <c r="IRJ21" s="187"/>
      <c r="IRK21" s="188"/>
      <c r="IRL21" s="188"/>
      <c r="IRM21" s="189"/>
      <c r="IRN21" s="188"/>
      <c r="IRO21" s="190"/>
      <c r="IRP21" s="191"/>
      <c r="IRQ21" s="192"/>
      <c r="IRR21" s="187"/>
      <c r="IRS21" s="187"/>
      <c r="IRT21" s="187"/>
      <c r="IRU21" s="188"/>
      <c r="IRV21" s="188"/>
      <c r="IRW21" s="189"/>
      <c r="IRX21" s="188"/>
      <c r="IRY21" s="190"/>
      <c r="IRZ21" s="191"/>
      <c r="ISA21" s="192"/>
      <c r="ISB21" s="187"/>
      <c r="ISC21" s="187"/>
      <c r="ISD21" s="187"/>
      <c r="ISE21" s="188"/>
      <c r="ISF21" s="188"/>
      <c r="ISG21" s="189"/>
      <c r="ISH21" s="188"/>
      <c r="ISI21" s="190"/>
      <c r="ISJ21" s="191"/>
      <c r="ISK21" s="192"/>
      <c r="ISL21" s="187"/>
      <c r="ISM21" s="187"/>
      <c r="ISN21" s="187"/>
      <c r="ISO21" s="188"/>
      <c r="ISP21" s="188"/>
      <c r="ISQ21" s="189"/>
      <c r="ISR21" s="188"/>
      <c r="ISS21" s="190"/>
      <c r="IST21" s="191"/>
      <c r="ISU21" s="192"/>
      <c r="ISV21" s="187"/>
      <c r="ISW21" s="187"/>
      <c r="ISX21" s="187"/>
      <c r="ISY21" s="188"/>
      <c r="ISZ21" s="188"/>
      <c r="ITA21" s="189"/>
      <c r="ITB21" s="188"/>
      <c r="ITC21" s="190"/>
      <c r="ITD21" s="191"/>
      <c r="ITE21" s="192"/>
      <c r="ITF21" s="187"/>
      <c r="ITG21" s="187"/>
      <c r="ITH21" s="187"/>
      <c r="ITI21" s="188"/>
      <c r="ITJ21" s="188"/>
      <c r="ITK21" s="189"/>
      <c r="ITL21" s="188"/>
      <c r="ITM21" s="190"/>
      <c r="ITN21" s="191"/>
      <c r="ITO21" s="192"/>
      <c r="ITP21" s="187"/>
      <c r="ITQ21" s="187"/>
      <c r="ITR21" s="187"/>
      <c r="ITS21" s="188"/>
      <c r="ITT21" s="188"/>
      <c r="ITU21" s="189"/>
      <c r="ITV21" s="188"/>
      <c r="ITW21" s="190"/>
      <c r="ITX21" s="191"/>
      <c r="ITY21" s="192"/>
      <c r="ITZ21" s="187"/>
      <c r="IUA21" s="187"/>
      <c r="IUB21" s="187"/>
      <c r="IUC21" s="188"/>
      <c r="IUD21" s="188"/>
      <c r="IUE21" s="189"/>
      <c r="IUF21" s="188"/>
      <c r="IUG21" s="190"/>
      <c r="IUH21" s="191"/>
      <c r="IUI21" s="192"/>
      <c r="IUJ21" s="187"/>
      <c r="IUK21" s="187"/>
      <c r="IUL21" s="187"/>
      <c r="IUM21" s="188"/>
      <c r="IUN21" s="188"/>
      <c r="IUO21" s="189"/>
      <c r="IUP21" s="188"/>
      <c r="IUQ21" s="190"/>
      <c r="IUR21" s="191"/>
      <c r="IUS21" s="192"/>
      <c r="IUT21" s="187"/>
      <c r="IUU21" s="193"/>
      <c r="IUV21" s="194"/>
      <c r="IUW21" s="195"/>
      <c r="IUX21" s="195"/>
      <c r="IUY21" s="196"/>
      <c r="IUZ21" s="195"/>
      <c r="IVA21" s="197"/>
      <c r="IVB21" s="198"/>
      <c r="IVC21" s="199"/>
      <c r="IVD21" s="194"/>
      <c r="IVE21" s="194"/>
      <c r="IVF21" s="194"/>
      <c r="IVG21" s="195"/>
      <c r="IVH21" s="195"/>
      <c r="IVI21" s="196"/>
      <c r="IVJ21" s="195"/>
      <c r="IVK21" s="197"/>
      <c r="IVL21" s="198"/>
      <c r="IVM21" s="199"/>
      <c r="IVN21" s="194"/>
      <c r="IVO21" s="194"/>
      <c r="IVP21" s="194"/>
      <c r="IVQ21" s="195"/>
      <c r="IVR21" s="195"/>
      <c r="IVS21" s="196"/>
      <c r="IVT21" s="195"/>
      <c r="IVU21" s="197"/>
      <c r="IVV21" s="198"/>
      <c r="IVW21" s="199"/>
      <c r="IVX21" s="194"/>
      <c r="IVY21" s="194"/>
      <c r="IVZ21" s="194"/>
      <c r="IWA21" s="195"/>
      <c r="IWB21" s="195"/>
      <c r="IWC21" s="196"/>
      <c r="IWD21" s="195"/>
      <c r="IWE21" s="197"/>
      <c r="IWF21" s="198"/>
      <c r="IWG21" s="199"/>
      <c r="IWH21" s="194"/>
      <c r="IWI21" s="194"/>
      <c r="IWJ21" s="194"/>
      <c r="IWK21" s="195"/>
      <c r="IWL21" s="195"/>
      <c r="IWM21" s="196"/>
      <c r="IWN21" s="195"/>
      <c r="IWO21" s="197"/>
      <c r="IWP21" s="198"/>
      <c r="IWQ21" s="199"/>
      <c r="IWR21" s="194"/>
      <c r="IWS21" s="194"/>
      <c r="IWT21" s="194"/>
      <c r="IWU21" s="195"/>
      <c r="IWV21" s="195"/>
      <c r="IWW21" s="196"/>
      <c r="IWX21" s="195"/>
      <c r="IWY21" s="197"/>
      <c r="IWZ21" s="198"/>
      <c r="IXA21" s="199"/>
      <c r="IXB21" s="194"/>
      <c r="IXC21" s="194"/>
      <c r="IXD21" s="194"/>
      <c r="IXE21" s="195"/>
      <c r="IXF21" s="195"/>
      <c r="IXG21" s="196"/>
      <c r="IXH21" s="195"/>
      <c r="IXI21" s="197"/>
      <c r="IXJ21" s="198"/>
      <c r="IXK21" s="199"/>
      <c r="IXL21" s="194"/>
      <c r="IXM21" s="194"/>
      <c r="IXN21" s="194"/>
      <c r="IXO21" s="195"/>
      <c r="IXP21" s="195"/>
      <c r="IXQ21" s="196"/>
      <c r="IXR21" s="195"/>
      <c r="IXS21" s="197"/>
      <c r="IXT21" s="198"/>
      <c r="IXU21" s="199"/>
      <c r="IXV21" s="194"/>
      <c r="IXW21" s="194"/>
      <c r="IXX21" s="194"/>
      <c r="IXY21" s="195"/>
      <c r="IXZ21" s="195"/>
      <c r="IYA21" s="196"/>
      <c r="IYB21" s="195"/>
      <c r="IYC21" s="197"/>
      <c r="IYD21" s="198"/>
      <c r="IYE21" s="199"/>
      <c r="IYF21" s="194"/>
      <c r="IYG21" s="194"/>
      <c r="IYH21" s="194"/>
      <c r="IYI21" s="195"/>
      <c r="IYJ21" s="195"/>
      <c r="IYK21" s="196"/>
      <c r="IYL21" s="195"/>
      <c r="IYM21" s="197"/>
      <c r="IYN21" s="198"/>
      <c r="IYO21" s="199"/>
      <c r="IYP21" s="194"/>
      <c r="IYQ21" s="194"/>
      <c r="IYR21" s="194"/>
      <c r="IYS21" s="195"/>
      <c r="IYT21" s="195"/>
      <c r="IYU21" s="196"/>
      <c r="IYV21" s="195"/>
      <c r="IYW21" s="197"/>
      <c r="IYX21" s="198"/>
      <c r="IYY21" s="199"/>
      <c r="IYZ21" s="194"/>
      <c r="IZA21" s="194"/>
      <c r="IZB21" s="194"/>
      <c r="IZC21" s="195"/>
      <c r="IZD21" s="195"/>
      <c r="IZE21" s="196"/>
      <c r="IZF21" s="195"/>
      <c r="IZG21" s="197"/>
      <c r="IZH21" s="198"/>
      <c r="IZI21" s="199"/>
      <c r="IZJ21" s="194"/>
      <c r="IZK21" s="194"/>
      <c r="IZL21" s="194"/>
      <c r="IZM21" s="195"/>
      <c r="IZN21" s="195"/>
      <c r="IZO21" s="196"/>
      <c r="IZP21" s="195"/>
      <c r="IZQ21" s="197"/>
      <c r="IZR21" s="198"/>
      <c r="IZS21" s="199"/>
      <c r="IZT21" s="194"/>
      <c r="IZU21" s="194"/>
      <c r="IZV21" s="194"/>
      <c r="IZW21" s="195"/>
      <c r="IZX21" s="195"/>
      <c r="IZY21" s="196"/>
      <c r="IZZ21" s="195"/>
      <c r="JAA21" s="197"/>
      <c r="JAB21" s="198"/>
      <c r="JAC21" s="199"/>
      <c r="JAD21" s="194"/>
      <c r="JAE21" s="194"/>
      <c r="JAF21" s="194"/>
      <c r="JAG21" s="195"/>
      <c r="JAH21" s="195"/>
      <c r="JAI21" s="196"/>
      <c r="JAJ21" s="195"/>
      <c r="JAK21" s="197"/>
      <c r="JAL21" s="198"/>
      <c r="JAM21" s="199"/>
      <c r="JAN21" s="194"/>
      <c r="JAO21" s="194"/>
      <c r="JAP21" s="194"/>
      <c r="JAQ21" s="195"/>
      <c r="JAR21" s="195"/>
      <c r="JAS21" s="196"/>
      <c r="JAT21" s="195"/>
      <c r="JAU21" s="197"/>
      <c r="JAV21" s="198"/>
      <c r="JAW21" s="199"/>
      <c r="JAX21" s="194"/>
      <c r="JAY21" s="194"/>
      <c r="JAZ21" s="194"/>
      <c r="JBA21" s="195"/>
      <c r="JBB21" s="195"/>
      <c r="JBC21" s="196"/>
      <c r="JBD21" s="195"/>
      <c r="JBE21" s="197"/>
      <c r="JBF21" s="198"/>
      <c r="JBG21" s="199"/>
      <c r="JBH21" s="194"/>
      <c r="JBI21" s="194"/>
      <c r="JBJ21" s="194"/>
      <c r="JBK21" s="195"/>
      <c r="JBL21" s="195"/>
      <c r="JBM21" s="196"/>
      <c r="JBN21" s="195"/>
      <c r="JBO21" s="197"/>
      <c r="JBP21" s="198"/>
      <c r="JBQ21" s="199"/>
      <c r="JBR21" s="194"/>
      <c r="JBS21" s="194"/>
      <c r="JBT21" s="194"/>
      <c r="JBU21" s="195"/>
      <c r="JBV21" s="195"/>
      <c r="JBW21" s="196"/>
      <c r="JBX21" s="195"/>
      <c r="JBY21" s="197"/>
      <c r="JBZ21" s="198"/>
      <c r="JCA21" s="199"/>
      <c r="JCB21" s="194"/>
      <c r="JCC21" s="194"/>
      <c r="JCD21" s="194"/>
      <c r="JCE21" s="195"/>
      <c r="JCF21" s="195"/>
      <c r="JCG21" s="196"/>
      <c r="JCH21" s="195"/>
      <c r="JCI21" s="197"/>
      <c r="JCJ21" s="198"/>
      <c r="JCK21" s="199"/>
      <c r="JCL21" s="194"/>
      <c r="JCM21" s="194"/>
      <c r="JCN21" s="194"/>
      <c r="JCO21" s="195"/>
      <c r="JCP21" s="195"/>
      <c r="JCQ21" s="196"/>
      <c r="JCR21" s="195"/>
      <c r="JCS21" s="197"/>
      <c r="JCT21" s="198"/>
      <c r="JCU21" s="199"/>
      <c r="JCV21" s="194"/>
      <c r="JCW21" s="194"/>
      <c r="JCX21" s="194"/>
      <c r="JCY21" s="195"/>
      <c r="JCZ21" s="195"/>
      <c r="JDA21" s="196"/>
      <c r="JDB21" s="195"/>
      <c r="JDC21" s="197"/>
      <c r="JDD21" s="198"/>
      <c r="JDE21" s="199"/>
      <c r="JDF21" s="194"/>
      <c r="JDG21" s="194"/>
      <c r="JDH21" s="194"/>
      <c r="JDI21" s="195"/>
      <c r="JDJ21" s="195"/>
      <c r="JDK21" s="196"/>
      <c r="JDL21" s="195"/>
      <c r="JDM21" s="197"/>
      <c r="JDN21" s="198"/>
      <c r="JDO21" s="199"/>
      <c r="JDP21" s="194"/>
      <c r="JDQ21" s="194"/>
      <c r="JDR21" s="194"/>
      <c r="JDS21" s="195"/>
      <c r="JDT21" s="195"/>
      <c r="JDU21" s="196"/>
      <c r="JDV21" s="195"/>
      <c r="JDW21" s="197"/>
      <c r="JDX21" s="198"/>
      <c r="JDY21" s="199"/>
      <c r="JDZ21" s="194"/>
      <c r="JEA21" s="194"/>
      <c r="JEB21" s="194"/>
      <c r="JEC21" s="195"/>
      <c r="JED21" s="195"/>
      <c r="JEE21" s="196"/>
      <c r="JEF21" s="195"/>
      <c r="JEG21" s="197"/>
      <c r="JEH21" s="198"/>
      <c r="JEI21" s="199"/>
      <c r="JEJ21" s="194"/>
      <c r="JEK21" s="194"/>
      <c r="JEL21" s="194"/>
      <c r="JEM21" s="195"/>
      <c r="JEN21" s="195"/>
      <c r="JEO21" s="196"/>
      <c r="JEP21" s="195"/>
      <c r="JEQ21" s="197"/>
      <c r="JER21" s="198"/>
      <c r="JES21" s="199"/>
      <c r="JET21" s="194"/>
      <c r="JEU21" s="194"/>
      <c r="JEV21" s="194"/>
      <c r="JEW21" s="195"/>
      <c r="JEX21" s="195"/>
      <c r="JEY21" s="196"/>
      <c r="JEZ21" s="195"/>
      <c r="JFA21" s="197"/>
      <c r="JFB21" s="198"/>
      <c r="JFC21" s="199"/>
      <c r="JFD21" s="194"/>
      <c r="JFE21" s="194"/>
      <c r="JFF21" s="194"/>
      <c r="JFG21" s="195"/>
      <c r="JFH21" s="195"/>
      <c r="JFI21" s="196"/>
      <c r="JFJ21" s="195"/>
      <c r="JFK21" s="197"/>
      <c r="JFL21" s="198"/>
      <c r="JFM21" s="199"/>
      <c r="JFN21" s="194"/>
      <c r="JFO21" s="194"/>
      <c r="JFP21" s="194"/>
      <c r="JFQ21" s="195"/>
      <c r="JFR21" s="195"/>
      <c r="JFS21" s="196"/>
      <c r="JFT21" s="195"/>
      <c r="JFU21" s="197"/>
      <c r="JFV21" s="198"/>
      <c r="JFW21" s="199"/>
      <c r="JFX21" s="194"/>
      <c r="JFY21" s="194"/>
      <c r="JFZ21" s="194"/>
      <c r="JGA21" s="195"/>
      <c r="JGB21" s="195"/>
      <c r="JGC21" s="196"/>
      <c r="JGD21" s="195"/>
      <c r="JGE21" s="197"/>
      <c r="JGF21" s="198"/>
      <c r="JGG21" s="199"/>
      <c r="JGH21" s="194"/>
      <c r="JGI21" s="194"/>
      <c r="JGJ21" s="194"/>
      <c r="JGK21" s="195"/>
      <c r="JGL21" s="195"/>
      <c r="JGM21" s="196"/>
      <c r="JGN21" s="195"/>
      <c r="JGO21" s="197"/>
      <c r="JGP21" s="198"/>
      <c r="JGQ21" s="199"/>
      <c r="JGR21" s="194"/>
      <c r="JGS21" s="194"/>
      <c r="JGT21" s="194"/>
      <c r="JGU21" s="195"/>
      <c r="JGV21" s="195"/>
      <c r="JGW21" s="196"/>
      <c r="JGX21" s="195"/>
      <c r="JGY21" s="197"/>
      <c r="JGZ21" s="198"/>
      <c r="JHA21" s="199"/>
      <c r="JHB21" s="194"/>
      <c r="JHC21" s="194"/>
      <c r="JHD21" s="194"/>
      <c r="JHE21" s="195"/>
      <c r="JHF21" s="195"/>
      <c r="JHG21" s="196"/>
      <c r="JHH21" s="195"/>
      <c r="JHI21" s="197"/>
      <c r="JHJ21" s="198"/>
      <c r="JHK21" s="199"/>
      <c r="JHL21" s="194"/>
      <c r="JHM21" s="194"/>
      <c r="JHN21" s="194"/>
      <c r="JHO21" s="195"/>
      <c r="JHP21" s="195"/>
      <c r="JHQ21" s="196"/>
      <c r="JHR21" s="195"/>
      <c r="JHS21" s="197"/>
      <c r="JHT21" s="198"/>
      <c r="JHU21" s="199"/>
      <c r="JHV21" s="194"/>
      <c r="JHW21" s="194"/>
      <c r="JHX21" s="194"/>
      <c r="JHY21" s="195"/>
      <c r="JHZ21" s="195"/>
      <c r="JIA21" s="196"/>
      <c r="JIB21" s="195"/>
      <c r="JIC21" s="197"/>
      <c r="JID21" s="198"/>
      <c r="JIE21" s="199"/>
      <c r="JIF21" s="194"/>
      <c r="JIG21" s="194"/>
      <c r="JIH21" s="194"/>
      <c r="JII21" s="195"/>
      <c r="JIJ21" s="195"/>
      <c r="JIK21" s="196"/>
      <c r="JIL21" s="195"/>
      <c r="JIM21" s="197"/>
      <c r="JIN21" s="198"/>
      <c r="JIO21" s="199"/>
      <c r="JIP21" s="194"/>
      <c r="JIQ21" s="194"/>
      <c r="JIR21" s="194"/>
      <c r="JIS21" s="195"/>
      <c r="JIT21" s="195"/>
      <c r="JIU21" s="196"/>
      <c r="JIV21" s="195"/>
      <c r="JIW21" s="197"/>
      <c r="JIX21" s="198"/>
      <c r="JIY21" s="199"/>
      <c r="JIZ21" s="194"/>
      <c r="JJA21" s="194"/>
      <c r="JJB21" s="194"/>
      <c r="JJC21" s="195"/>
      <c r="JJD21" s="195"/>
      <c r="JJE21" s="196"/>
      <c r="JJF21" s="195"/>
      <c r="JJG21" s="197"/>
      <c r="JJH21" s="198"/>
      <c r="JJI21" s="199"/>
      <c r="JJJ21" s="194"/>
      <c r="JJK21" s="194"/>
      <c r="JJL21" s="194"/>
      <c r="JJM21" s="195"/>
      <c r="JJN21" s="195"/>
      <c r="JJO21" s="196"/>
      <c r="JJP21" s="195"/>
      <c r="JJQ21" s="197"/>
      <c r="JJR21" s="198"/>
      <c r="JJS21" s="199"/>
      <c r="JJT21" s="194"/>
      <c r="JJU21" s="194"/>
      <c r="JJV21" s="194"/>
      <c r="JJW21" s="195"/>
      <c r="JJX21" s="195"/>
      <c r="JJY21" s="196"/>
      <c r="JJZ21" s="195"/>
      <c r="JKA21" s="197"/>
      <c r="JKB21" s="198"/>
      <c r="JKC21" s="199"/>
      <c r="JKD21" s="194"/>
      <c r="JKE21" s="194"/>
      <c r="JKF21" s="194"/>
      <c r="JKG21" s="195"/>
      <c r="JKH21" s="195"/>
      <c r="JKI21" s="196"/>
      <c r="JKJ21" s="195"/>
      <c r="JKK21" s="197"/>
      <c r="JKL21" s="198"/>
      <c r="JKM21" s="199"/>
      <c r="JKN21" s="194"/>
      <c r="JKO21" s="194"/>
      <c r="JKP21" s="194"/>
      <c r="JKQ21" s="195"/>
      <c r="JKR21" s="195"/>
      <c r="JKS21" s="196"/>
      <c r="JKT21" s="195"/>
      <c r="JKU21" s="197"/>
      <c r="JKV21" s="198"/>
      <c r="JKW21" s="199"/>
      <c r="JKX21" s="194"/>
      <c r="JKY21" s="194"/>
      <c r="JKZ21" s="194"/>
      <c r="JLA21" s="195"/>
      <c r="JLB21" s="195"/>
      <c r="JLC21" s="196"/>
      <c r="JLD21" s="195"/>
      <c r="JLE21" s="197"/>
      <c r="JLF21" s="198"/>
      <c r="JLG21" s="199"/>
      <c r="JLH21" s="194"/>
      <c r="JLI21" s="194"/>
      <c r="JLJ21" s="194"/>
      <c r="JLK21" s="195"/>
      <c r="JLL21" s="195"/>
      <c r="JLM21" s="196"/>
      <c r="JLN21" s="195"/>
      <c r="JLO21" s="197"/>
      <c r="JLP21" s="198"/>
      <c r="JLQ21" s="199"/>
      <c r="JLR21" s="194"/>
      <c r="JLS21" s="194"/>
      <c r="JLT21" s="194"/>
      <c r="JLU21" s="195"/>
      <c r="JLV21" s="195"/>
      <c r="JLW21" s="196"/>
      <c r="JLX21" s="195"/>
      <c r="JLY21" s="197"/>
      <c r="JLZ21" s="198"/>
      <c r="JMA21" s="199"/>
      <c r="JMB21" s="194"/>
      <c r="JMC21" s="194"/>
      <c r="JMD21" s="194"/>
      <c r="JME21" s="195"/>
      <c r="JMF21" s="195"/>
      <c r="JMG21" s="196"/>
      <c r="JMH21" s="195"/>
      <c r="JMI21" s="197"/>
      <c r="JMJ21" s="198"/>
      <c r="JMK21" s="199"/>
      <c r="JML21" s="194"/>
      <c r="JMM21" s="194"/>
      <c r="JMN21" s="194"/>
      <c r="JMO21" s="195"/>
      <c r="JMP21" s="195"/>
      <c r="JMQ21" s="196"/>
      <c r="JMR21" s="195"/>
      <c r="JMS21" s="197"/>
      <c r="JMT21" s="198"/>
      <c r="JMU21" s="199"/>
      <c r="JMV21" s="194"/>
      <c r="JMW21" s="194"/>
      <c r="JMX21" s="194"/>
      <c r="JMY21" s="195"/>
      <c r="JMZ21" s="195"/>
      <c r="JNA21" s="196"/>
      <c r="JNB21" s="195"/>
      <c r="JNC21" s="197"/>
      <c r="JND21" s="198"/>
      <c r="JNE21" s="199"/>
      <c r="JNF21" s="194"/>
      <c r="JNG21" s="194"/>
      <c r="JNH21" s="194"/>
      <c r="JNI21" s="195"/>
      <c r="JNJ21" s="195"/>
      <c r="JNK21" s="196"/>
      <c r="JNL21" s="195"/>
      <c r="JNM21" s="197"/>
      <c r="JNN21" s="198"/>
      <c r="JNO21" s="199"/>
      <c r="JNP21" s="194"/>
      <c r="JNQ21" s="194"/>
      <c r="JNR21" s="194"/>
      <c r="JNS21" s="195"/>
      <c r="JNT21" s="195"/>
      <c r="JNU21" s="196"/>
      <c r="JNV21" s="195"/>
      <c r="JNW21" s="197"/>
      <c r="JNX21" s="198"/>
      <c r="JNY21" s="199"/>
      <c r="JNZ21" s="194"/>
      <c r="JOA21" s="194"/>
      <c r="JOB21" s="194"/>
      <c r="JOC21" s="195"/>
      <c r="JOD21" s="195"/>
      <c r="JOE21" s="196"/>
      <c r="JOF21" s="195"/>
      <c r="JOG21" s="197"/>
      <c r="JOH21" s="198"/>
      <c r="JOI21" s="199"/>
      <c r="JOJ21" s="194"/>
      <c r="JOK21" s="194"/>
      <c r="JOL21" s="194"/>
      <c r="JOM21" s="195"/>
      <c r="JON21" s="195"/>
      <c r="JOO21" s="196"/>
      <c r="JOP21" s="195"/>
      <c r="JOQ21" s="197"/>
      <c r="JOR21" s="198"/>
      <c r="JOS21" s="199"/>
      <c r="JOT21" s="194"/>
      <c r="JOU21" s="194"/>
      <c r="JOV21" s="194"/>
      <c r="JOW21" s="195"/>
      <c r="JOX21" s="195"/>
      <c r="JOY21" s="196"/>
      <c r="JOZ21" s="195"/>
      <c r="JPA21" s="197"/>
      <c r="JPB21" s="198"/>
      <c r="JPC21" s="199"/>
      <c r="JPD21" s="194"/>
      <c r="JPE21" s="194"/>
      <c r="JPF21" s="194"/>
      <c r="JPG21" s="195"/>
      <c r="JPH21" s="195"/>
      <c r="JPI21" s="196"/>
      <c r="JPJ21" s="195"/>
      <c r="JPK21" s="197"/>
      <c r="JPL21" s="198"/>
      <c r="JPM21" s="199"/>
      <c r="JPN21" s="194"/>
      <c r="JPO21" s="194"/>
      <c r="JPP21" s="194"/>
      <c r="JPQ21" s="195"/>
      <c r="JPR21" s="195"/>
      <c r="JPS21" s="196"/>
      <c r="JPT21" s="195"/>
      <c r="JPU21" s="197"/>
      <c r="JPV21" s="198"/>
      <c r="JPW21" s="199"/>
      <c r="JPX21" s="194"/>
      <c r="JPY21" s="194"/>
      <c r="JPZ21" s="194"/>
      <c r="JQA21" s="195"/>
      <c r="JQB21" s="195"/>
      <c r="JQC21" s="196"/>
      <c r="JQD21" s="195"/>
      <c r="JQE21" s="197"/>
      <c r="JQF21" s="198"/>
      <c r="JQG21" s="199"/>
      <c r="JQH21" s="194"/>
      <c r="JQI21" s="194"/>
      <c r="JQJ21" s="194"/>
      <c r="JQK21" s="195"/>
      <c r="JQL21" s="195"/>
      <c r="JQM21" s="196"/>
      <c r="JQN21" s="195"/>
      <c r="JQO21" s="197"/>
      <c r="JQP21" s="198"/>
      <c r="JQQ21" s="199"/>
      <c r="JQR21" s="194"/>
      <c r="JQS21" s="194"/>
      <c r="JQT21" s="194"/>
      <c r="JQU21" s="195"/>
      <c r="JQV21" s="195"/>
      <c r="JQW21" s="196"/>
      <c r="JQX21" s="195"/>
      <c r="JQY21" s="197"/>
      <c r="JQZ21" s="198"/>
      <c r="JRA21" s="199"/>
      <c r="JRB21" s="194"/>
      <c r="JRC21" s="194"/>
      <c r="JRD21" s="194"/>
      <c r="JRE21" s="195"/>
      <c r="JRF21" s="195"/>
      <c r="JRG21" s="196"/>
      <c r="JRH21" s="195"/>
      <c r="JRI21" s="197"/>
      <c r="JRJ21" s="198"/>
      <c r="JRK21" s="199"/>
      <c r="JRL21" s="194"/>
      <c r="JRM21" s="194"/>
      <c r="JRN21" s="194"/>
      <c r="JRO21" s="195"/>
      <c r="JRP21" s="195"/>
      <c r="JRQ21" s="196"/>
      <c r="JRR21" s="195"/>
      <c r="JRS21" s="197"/>
      <c r="JRT21" s="198"/>
      <c r="JRU21" s="199"/>
      <c r="JRV21" s="194"/>
      <c r="JRW21" s="194"/>
      <c r="JRX21" s="194"/>
      <c r="JRY21" s="195"/>
      <c r="JRZ21" s="195"/>
      <c r="JSA21" s="196"/>
      <c r="JSB21" s="195"/>
      <c r="JSC21" s="197"/>
      <c r="JSD21" s="198"/>
      <c r="JSE21" s="199"/>
      <c r="JSF21" s="194"/>
      <c r="JSG21" s="194"/>
      <c r="JSH21" s="194"/>
      <c r="JSI21" s="195"/>
      <c r="JSJ21" s="195"/>
      <c r="JSK21" s="196"/>
      <c r="JSL21" s="195"/>
      <c r="JSM21" s="197"/>
      <c r="JSN21" s="198"/>
      <c r="JSO21" s="199"/>
      <c r="JSP21" s="194"/>
      <c r="JSQ21" s="194"/>
      <c r="JSR21" s="194"/>
      <c r="JSS21" s="195"/>
      <c r="JST21" s="195"/>
      <c r="JSU21" s="196"/>
      <c r="JSV21" s="195"/>
      <c r="JSW21" s="197"/>
      <c r="JSX21" s="198"/>
      <c r="JSY21" s="199"/>
      <c r="JSZ21" s="194"/>
      <c r="JTA21" s="194"/>
      <c r="JTB21" s="194"/>
      <c r="JTC21" s="195"/>
      <c r="JTD21" s="195"/>
      <c r="JTE21" s="196"/>
      <c r="JTF21" s="195"/>
      <c r="JTG21" s="197"/>
      <c r="JTH21" s="198"/>
      <c r="JTI21" s="199"/>
      <c r="JTJ21" s="194"/>
      <c r="JTK21" s="194"/>
      <c r="JTL21" s="194"/>
      <c r="JTM21" s="195"/>
      <c r="JTN21" s="195"/>
      <c r="JTO21" s="196"/>
      <c r="JTP21" s="195"/>
      <c r="JTQ21" s="197"/>
      <c r="JTR21" s="198"/>
      <c r="JTS21" s="199"/>
      <c r="JTT21" s="194"/>
      <c r="JTU21" s="194"/>
      <c r="JTV21" s="194"/>
      <c r="JTW21" s="195"/>
      <c r="JTX21" s="195"/>
      <c r="JTY21" s="196"/>
      <c r="JTZ21" s="195"/>
      <c r="JUA21" s="197"/>
      <c r="JUB21" s="198"/>
      <c r="JUC21" s="199"/>
      <c r="JUD21" s="194"/>
      <c r="JUE21" s="194"/>
      <c r="JUF21" s="194"/>
      <c r="JUG21" s="195"/>
      <c r="JUH21" s="195"/>
      <c r="JUI21" s="196"/>
      <c r="JUJ21" s="195"/>
      <c r="JUK21" s="197"/>
      <c r="JUL21" s="198"/>
      <c r="JUM21" s="199"/>
      <c r="JUN21" s="194"/>
      <c r="JUO21" s="194"/>
      <c r="JUP21" s="194"/>
      <c r="JUQ21" s="195"/>
      <c r="JUR21" s="195"/>
      <c r="JUS21" s="196"/>
      <c r="JUT21" s="195"/>
      <c r="JUU21" s="197"/>
      <c r="JUV21" s="198"/>
      <c r="JUW21" s="199"/>
      <c r="JUX21" s="194"/>
      <c r="JUY21" s="194"/>
      <c r="JUZ21" s="194"/>
      <c r="JVA21" s="195"/>
      <c r="JVB21" s="195"/>
      <c r="JVC21" s="196"/>
      <c r="JVD21" s="195"/>
      <c r="JVE21" s="197"/>
      <c r="JVF21" s="198"/>
      <c r="JVG21" s="199"/>
      <c r="JVH21" s="194"/>
      <c r="JVI21" s="194"/>
      <c r="JVJ21" s="194"/>
      <c r="JVK21" s="195"/>
      <c r="JVL21" s="195"/>
      <c r="JVM21" s="196"/>
      <c r="JVN21" s="195"/>
      <c r="JVO21" s="197"/>
      <c r="JVP21" s="198"/>
      <c r="JVQ21" s="199"/>
      <c r="JVR21" s="194"/>
      <c r="JVS21" s="194"/>
      <c r="JVT21" s="194"/>
      <c r="JVU21" s="195"/>
      <c r="JVV21" s="195"/>
      <c r="JVW21" s="196"/>
      <c r="JVX21" s="195"/>
      <c r="JVY21" s="197"/>
      <c r="JVZ21" s="198"/>
      <c r="JWA21" s="199"/>
      <c r="JWB21" s="194"/>
      <c r="JWC21" s="194"/>
      <c r="JWD21" s="194"/>
      <c r="JWE21" s="195"/>
      <c r="JWF21" s="195"/>
      <c r="JWG21" s="196"/>
      <c r="JWH21" s="195"/>
      <c r="JWI21" s="197"/>
      <c r="JWJ21" s="198"/>
      <c r="JWK21" s="199"/>
      <c r="JWL21" s="194"/>
      <c r="JWM21" s="194"/>
      <c r="JWN21" s="194"/>
      <c r="JWO21" s="195"/>
      <c r="JWP21" s="195"/>
      <c r="JWQ21" s="196"/>
      <c r="JWR21" s="195"/>
      <c r="JWS21" s="197"/>
      <c r="JWT21" s="198"/>
      <c r="JWU21" s="199"/>
      <c r="JWV21" s="194"/>
      <c r="JWW21" s="194"/>
      <c r="JWX21" s="194"/>
      <c r="JWY21" s="195"/>
      <c r="JWZ21" s="195"/>
      <c r="JXA21" s="196"/>
      <c r="JXB21" s="195"/>
      <c r="JXC21" s="197"/>
      <c r="JXD21" s="198"/>
      <c r="JXE21" s="199"/>
      <c r="JXF21" s="194"/>
      <c r="JXG21" s="194"/>
      <c r="JXH21" s="194"/>
      <c r="JXI21" s="195"/>
      <c r="JXJ21" s="195"/>
      <c r="JXK21" s="196"/>
      <c r="JXL21" s="195"/>
      <c r="JXM21" s="197"/>
      <c r="JXN21" s="198"/>
      <c r="JXO21" s="199"/>
      <c r="JXP21" s="194"/>
      <c r="JXQ21" s="194"/>
      <c r="JXR21" s="194"/>
      <c r="JXS21" s="195"/>
      <c r="JXT21" s="195"/>
      <c r="JXU21" s="196"/>
      <c r="JXV21" s="195"/>
      <c r="JXW21" s="197"/>
      <c r="JXX21" s="198"/>
      <c r="JXY21" s="199"/>
      <c r="JXZ21" s="194"/>
      <c r="JYA21" s="194"/>
      <c r="JYB21" s="194"/>
      <c r="JYC21" s="195"/>
      <c r="JYD21" s="195"/>
      <c r="JYE21" s="196"/>
      <c r="JYF21" s="195"/>
      <c r="JYG21" s="197"/>
      <c r="JYH21" s="198"/>
      <c r="JYI21" s="199"/>
      <c r="JYJ21" s="194"/>
      <c r="JYK21" s="194"/>
      <c r="JYL21" s="194"/>
      <c r="JYM21" s="195"/>
      <c r="JYN21" s="195"/>
      <c r="JYO21" s="196"/>
      <c r="JYP21" s="195"/>
      <c r="JYQ21" s="197"/>
      <c r="JYR21" s="198"/>
      <c r="JYS21" s="199"/>
      <c r="JYT21" s="194"/>
      <c r="JYU21" s="194"/>
      <c r="JYV21" s="194"/>
      <c r="JYW21" s="195"/>
      <c r="JYX21" s="195"/>
      <c r="JYY21" s="196"/>
      <c r="JYZ21" s="195"/>
      <c r="JZA21" s="197"/>
      <c r="JZB21" s="198"/>
      <c r="JZC21" s="199"/>
      <c r="JZD21" s="194"/>
      <c r="JZE21" s="194"/>
      <c r="JZF21" s="194"/>
      <c r="JZG21" s="195"/>
      <c r="JZH21" s="195"/>
      <c r="JZI21" s="196"/>
      <c r="JZJ21" s="195"/>
      <c r="JZK21" s="197"/>
      <c r="JZL21" s="198"/>
      <c r="JZM21" s="199"/>
      <c r="JZN21" s="194"/>
      <c r="JZO21" s="194"/>
      <c r="JZP21" s="194"/>
      <c r="JZQ21" s="195"/>
      <c r="JZR21" s="195"/>
      <c r="JZS21" s="196"/>
      <c r="JZT21" s="195"/>
      <c r="JZU21" s="197"/>
      <c r="JZV21" s="198"/>
      <c r="JZW21" s="199"/>
      <c r="JZX21" s="194"/>
      <c r="JZY21" s="194"/>
      <c r="JZZ21" s="194"/>
      <c r="KAA21" s="195"/>
      <c r="KAB21" s="195"/>
      <c r="KAC21" s="196"/>
      <c r="KAD21" s="195"/>
      <c r="KAE21" s="197"/>
      <c r="KAF21" s="198"/>
      <c r="KAG21" s="199"/>
      <c r="KAH21" s="194"/>
      <c r="KAI21" s="194"/>
      <c r="KAJ21" s="194"/>
      <c r="KAK21" s="195"/>
      <c r="KAL21" s="195"/>
      <c r="KAM21" s="196"/>
      <c r="KAN21" s="195"/>
      <c r="KAO21" s="197"/>
      <c r="KAP21" s="198"/>
      <c r="KAQ21" s="199"/>
      <c r="KAR21" s="194"/>
      <c r="KAS21" s="194"/>
      <c r="KAT21" s="194"/>
      <c r="KAU21" s="195"/>
      <c r="KAV21" s="195"/>
      <c r="KAW21" s="196"/>
      <c r="KAX21" s="195"/>
      <c r="KAY21" s="197"/>
      <c r="KAZ21" s="198"/>
      <c r="KBA21" s="199"/>
      <c r="KBB21" s="194"/>
      <c r="KBC21" s="194"/>
      <c r="KBD21" s="194"/>
      <c r="KBE21" s="195"/>
      <c r="KBF21" s="195"/>
      <c r="KBG21" s="196"/>
      <c r="KBH21" s="195"/>
      <c r="KBI21" s="197"/>
      <c r="KBJ21" s="198"/>
      <c r="KBK21" s="199"/>
      <c r="KBL21" s="194"/>
      <c r="KBM21" s="194"/>
      <c r="KBN21" s="194"/>
      <c r="KBO21" s="195"/>
      <c r="KBP21" s="195"/>
      <c r="KBQ21" s="196"/>
      <c r="KBR21" s="195"/>
      <c r="KBS21" s="197"/>
      <c r="KBT21" s="198"/>
      <c r="KBU21" s="199"/>
      <c r="KBV21" s="194"/>
      <c r="KBW21" s="194"/>
      <c r="KBX21" s="194"/>
      <c r="KBY21" s="195"/>
      <c r="KBZ21" s="195"/>
      <c r="KCA21" s="196"/>
      <c r="KCB21" s="195"/>
      <c r="KCC21" s="197"/>
      <c r="KCD21" s="198"/>
      <c r="KCE21" s="199"/>
      <c r="KCF21" s="194"/>
      <c r="KCG21" s="194"/>
      <c r="KCH21" s="194"/>
      <c r="KCI21" s="195"/>
      <c r="KCJ21" s="195"/>
      <c r="KCK21" s="196"/>
      <c r="KCL21" s="195"/>
      <c r="KCM21" s="197"/>
      <c r="KCN21" s="198"/>
      <c r="KCO21" s="199"/>
      <c r="KCP21" s="194"/>
      <c r="KCQ21" s="194"/>
      <c r="KCR21" s="194"/>
      <c r="KCS21" s="195"/>
      <c r="KCT21" s="195"/>
      <c r="KCU21" s="196"/>
      <c r="KCV21" s="195"/>
      <c r="KCW21" s="197"/>
      <c r="KCX21" s="198"/>
      <c r="KCY21" s="199"/>
      <c r="KCZ21" s="194"/>
      <c r="KDA21" s="194"/>
      <c r="KDB21" s="194"/>
      <c r="KDC21" s="195"/>
      <c r="KDD21" s="195"/>
      <c r="KDE21" s="196"/>
      <c r="KDF21" s="195"/>
      <c r="KDG21" s="197"/>
      <c r="KDH21" s="198"/>
      <c r="KDI21" s="199"/>
      <c r="KDJ21" s="194"/>
      <c r="KDK21" s="194"/>
      <c r="KDL21" s="194"/>
      <c r="KDM21" s="195"/>
      <c r="KDN21" s="195"/>
      <c r="KDO21" s="196"/>
      <c r="KDP21" s="195"/>
      <c r="KDQ21" s="197"/>
      <c r="KDR21" s="198"/>
      <c r="KDS21" s="199"/>
      <c r="KDT21" s="194"/>
      <c r="KDU21" s="194"/>
      <c r="KDV21" s="194"/>
      <c r="KDW21" s="195"/>
      <c r="KDX21" s="195"/>
      <c r="KDY21" s="196"/>
      <c r="KDZ21" s="195"/>
      <c r="KEA21" s="197"/>
      <c r="KEB21" s="198"/>
      <c r="KEC21" s="199"/>
      <c r="KED21" s="194"/>
      <c r="KEE21" s="194"/>
      <c r="KEF21" s="194"/>
      <c r="KEG21" s="195"/>
      <c r="KEH21" s="195"/>
      <c r="KEI21" s="196"/>
      <c r="KEJ21" s="195"/>
      <c r="KEK21" s="197"/>
      <c r="KEL21" s="198"/>
      <c r="KEM21" s="199"/>
      <c r="KEN21" s="194"/>
      <c r="KEO21" s="194"/>
      <c r="KEP21" s="194"/>
      <c r="KEQ21" s="195"/>
      <c r="KER21" s="195"/>
      <c r="KES21" s="196"/>
      <c r="KET21" s="195"/>
      <c r="KEU21" s="197"/>
      <c r="KEV21" s="198"/>
      <c r="KEW21" s="199"/>
      <c r="KEX21" s="194"/>
      <c r="KEY21" s="194"/>
      <c r="KEZ21" s="194"/>
      <c r="KFA21" s="195"/>
      <c r="KFB21" s="195"/>
      <c r="KFC21" s="196"/>
      <c r="KFD21" s="195"/>
      <c r="KFE21" s="197"/>
      <c r="KFF21" s="198"/>
      <c r="KFG21" s="199"/>
      <c r="KFH21" s="194"/>
      <c r="KFI21" s="194"/>
      <c r="KFJ21" s="194"/>
      <c r="KFK21" s="195"/>
      <c r="KFL21" s="195"/>
      <c r="KFM21" s="196"/>
      <c r="KFN21" s="195"/>
      <c r="KFO21" s="197"/>
      <c r="KFP21" s="198"/>
      <c r="KFQ21" s="199"/>
      <c r="KFR21" s="194"/>
      <c r="KFS21" s="194"/>
      <c r="KFT21" s="194"/>
      <c r="KFU21" s="195"/>
      <c r="KFV21" s="195"/>
      <c r="KFW21" s="196"/>
      <c r="KFX21" s="195"/>
      <c r="KFY21" s="197"/>
      <c r="KFZ21" s="198"/>
      <c r="KGA21" s="199"/>
      <c r="KGB21" s="194"/>
      <c r="KGC21" s="194"/>
      <c r="KGD21" s="194"/>
      <c r="KGE21" s="195"/>
      <c r="KGF21" s="195"/>
      <c r="KGG21" s="196"/>
      <c r="KGH21" s="195"/>
      <c r="KGI21" s="197"/>
      <c r="KGJ21" s="198"/>
      <c r="KGK21" s="199"/>
      <c r="KGL21" s="194"/>
      <c r="KGM21" s="194"/>
      <c r="KGN21" s="194"/>
      <c r="KGO21" s="195"/>
      <c r="KGP21" s="195"/>
      <c r="KGQ21" s="196"/>
      <c r="KGR21" s="195"/>
      <c r="KGS21" s="197"/>
      <c r="KGT21" s="198"/>
      <c r="KGU21" s="199"/>
      <c r="KGV21" s="194"/>
      <c r="KGW21" s="194"/>
      <c r="KGX21" s="194"/>
      <c r="KGY21" s="195"/>
      <c r="KGZ21" s="195"/>
      <c r="KHA21" s="196"/>
      <c r="KHB21" s="195"/>
      <c r="KHC21" s="197"/>
      <c r="KHD21" s="198"/>
      <c r="KHE21" s="199"/>
      <c r="KHF21" s="194"/>
      <c r="KHG21" s="194"/>
      <c r="KHH21" s="194"/>
      <c r="KHI21" s="195"/>
      <c r="KHJ21" s="195"/>
      <c r="KHK21" s="196"/>
      <c r="KHL21" s="195"/>
      <c r="KHM21" s="197"/>
      <c r="KHN21" s="198"/>
      <c r="KHO21" s="199"/>
      <c r="KHP21" s="194"/>
      <c r="KHQ21" s="194"/>
      <c r="KHR21" s="194"/>
      <c r="KHS21" s="195"/>
      <c r="KHT21" s="195"/>
      <c r="KHU21" s="196"/>
      <c r="KHV21" s="195"/>
      <c r="KHW21" s="197"/>
      <c r="KHX21" s="198"/>
      <c r="KHY21" s="199"/>
      <c r="KHZ21" s="194"/>
      <c r="KIA21" s="194"/>
      <c r="KIB21" s="194"/>
      <c r="KIC21" s="195"/>
      <c r="KID21" s="195"/>
      <c r="KIE21" s="196"/>
      <c r="KIF21" s="195"/>
      <c r="KIG21" s="197"/>
      <c r="KIH21" s="198"/>
      <c r="KII21" s="199"/>
      <c r="KIJ21" s="194"/>
      <c r="KIK21" s="194"/>
      <c r="KIL21" s="194"/>
      <c r="KIM21" s="195"/>
      <c r="KIN21" s="195"/>
      <c r="KIO21" s="196"/>
      <c r="KIP21" s="195"/>
      <c r="KIQ21" s="197"/>
      <c r="KIR21" s="198"/>
      <c r="KIS21" s="199"/>
      <c r="KIT21" s="194"/>
      <c r="KIU21" s="194"/>
      <c r="KIV21" s="194"/>
      <c r="KIW21" s="195"/>
      <c r="KIX21" s="195"/>
      <c r="KIY21" s="196"/>
      <c r="KIZ21" s="195"/>
      <c r="KJA21" s="197"/>
      <c r="KJB21" s="198"/>
      <c r="KJC21" s="199"/>
      <c r="KJD21" s="194"/>
      <c r="KJE21" s="194"/>
      <c r="KJF21" s="194"/>
      <c r="KJG21" s="195"/>
      <c r="KJH21" s="195"/>
      <c r="KJI21" s="196"/>
      <c r="KJJ21" s="195"/>
      <c r="KJK21" s="197"/>
      <c r="KJL21" s="198"/>
      <c r="KJM21" s="199"/>
      <c r="KJN21" s="194"/>
      <c r="KJO21" s="194"/>
      <c r="KJP21" s="194"/>
      <c r="KJQ21" s="195"/>
      <c r="KJR21" s="195"/>
      <c r="KJS21" s="196"/>
      <c r="KJT21" s="195"/>
      <c r="KJU21" s="197"/>
      <c r="KJV21" s="198"/>
      <c r="KJW21" s="199"/>
      <c r="KJX21" s="194"/>
      <c r="KJY21" s="194"/>
      <c r="KJZ21" s="194"/>
      <c r="KKA21" s="195"/>
      <c r="KKB21" s="195"/>
      <c r="KKC21" s="196"/>
      <c r="KKD21" s="195"/>
      <c r="KKE21" s="197"/>
      <c r="KKF21" s="198"/>
      <c r="KKG21" s="199"/>
      <c r="KKH21" s="194"/>
      <c r="KKI21" s="194"/>
      <c r="KKJ21" s="194"/>
      <c r="KKK21" s="195"/>
      <c r="KKL21" s="195"/>
      <c r="KKM21" s="196"/>
      <c r="KKN21" s="195"/>
      <c r="KKO21" s="197"/>
      <c r="KKP21" s="198"/>
      <c r="KKQ21" s="199"/>
      <c r="KKR21" s="194"/>
      <c r="KKS21" s="194"/>
      <c r="KKT21" s="194"/>
      <c r="KKU21" s="195"/>
      <c r="KKV21" s="195"/>
      <c r="KKW21" s="196"/>
      <c r="KKX21" s="195"/>
      <c r="KKY21" s="197"/>
      <c r="KKZ21" s="198"/>
      <c r="KLA21" s="199"/>
      <c r="KLB21" s="194"/>
      <c r="KLC21" s="194"/>
      <c r="KLD21" s="194"/>
      <c r="KLE21" s="195"/>
      <c r="KLF21" s="195"/>
      <c r="KLG21" s="196"/>
      <c r="KLH21" s="195"/>
      <c r="KLI21" s="197"/>
      <c r="KLJ21" s="198"/>
      <c r="KLK21" s="199"/>
      <c r="KLL21" s="194"/>
      <c r="KLM21" s="194"/>
      <c r="KLN21" s="194"/>
      <c r="KLO21" s="195"/>
      <c r="KLP21" s="195"/>
      <c r="KLQ21" s="196"/>
      <c r="KLR21" s="195"/>
      <c r="KLS21" s="197"/>
      <c r="KLT21" s="198"/>
      <c r="KLU21" s="199"/>
      <c r="KLV21" s="194"/>
      <c r="KLW21" s="194"/>
      <c r="KLX21" s="194"/>
      <c r="KLY21" s="195"/>
      <c r="KLZ21" s="195"/>
      <c r="KMA21" s="196"/>
      <c r="KMB21" s="195"/>
      <c r="KMC21" s="197"/>
      <c r="KMD21" s="198"/>
      <c r="KME21" s="199"/>
      <c r="KMF21" s="194"/>
      <c r="KMG21" s="194"/>
      <c r="KMH21" s="194"/>
      <c r="KMI21" s="195"/>
      <c r="KMJ21" s="195"/>
      <c r="KMK21" s="196"/>
      <c r="KML21" s="195"/>
      <c r="KMM21" s="197"/>
      <c r="KMN21" s="198"/>
      <c r="KMO21" s="199"/>
      <c r="KMP21" s="194"/>
      <c r="KMQ21" s="194"/>
      <c r="KMR21" s="194"/>
      <c r="KMS21" s="195"/>
      <c r="KMT21" s="195"/>
      <c r="KMU21" s="196"/>
      <c r="KMV21" s="195"/>
      <c r="KMW21" s="197"/>
      <c r="KMX21" s="198"/>
      <c r="KMY21" s="199"/>
      <c r="KMZ21" s="194"/>
      <c r="KNA21" s="194"/>
      <c r="KNB21" s="194"/>
      <c r="KNC21" s="195"/>
      <c r="KND21" s="195"/>
      <c r="KNE21" s="196"/>
      <c r="KNF21" s="195"/>
      <c r="KNG21" s="197"/>
      <c r="KNH21" s="198"/>
      <c r="KNI21" s="199"/>
      <c r="KNJ21" s="194"/>
      <c r="KNK21" s="194"/>
      <c r="KNL21" s="194"/>
      <c r="KNM21" s="195"/>
      <c r="KNN21" s="195"/>
      <c r="KNO21" s="196"/>
      <c r="KNP21" s="195"/>
      <c r="KNQ21" s="197"/>
      <c r="KNR21" s="198"/>
      <c r="KNS21" s="199"/>
      <c r="KNT21" s="194"/>
      <c r="KNU21" s="194"/>
      <c r="KNV21" s="194"/>
      <c r="KNW21" s="195"/>
      <c r="KNX21" s="195"/>
      <c r="KNY21" s="196"/>
      <c r="KNZ21" s="195"/>
      <c r="KOA21" s="197"/>
      <c r="KOB21" s="198"/>
      <c r="KOC21" s="199"/>
      <c r="KOD21" s="194"/>
      <c r="KOE21" s="194"/>
      <c r="KOF21" s="194"/>
      <c r="KOG21" s="195"/>
      <c r="KOH21" s="195"/>
      <c r="KOI21" s="196"/>
      <c r="KOJ21" s="195"/>
      <c r="KOK21" s="197"/>
      <c r="KOL21" s="198"/>
      <c r="KOM21" s="199"/>
      <c r="KON21" s="194"/>
      <c r="KOO21" s="194"/>
      <c r="KOP21" s="194"/>
      <c r="KOQ21" s="195"/>
      <c r="KOR21" s="195"/>
      <c r="KOS21" s="196"/>
      <c r="KOT21" s="195"/>
      <c r="KOU21" s="197"/>
      <c r="KOV21" s="198"/>
      <c r="KOW21" s="199"/>
      <c r="KOX21" s="194"/>
      <c r="KOY21" s="194"/>
      <c r="KOZ21" s="194"/>
      <c r="KPA21" s="195"/>
      <c r="KPB21" s="195"/>
      <c r="KPC21" s="196"/>
      <c r="KPD21" s="195"/>
      <c r="KPE21" s="197"/>
      <c r="KPF21" s="198"/>
      <c r="KPG21" s="199"/>
      <c r="KPH21" s="194"/>
      <c r="KPI21" s="194"/>
      <c r="KPJ21" s="194"/>
      <c r="KPK21" s="195"/>
      <c r="KPL21" s="195"/>
      <c r="KPM21" s="196"/>
      <c r="KPN21" s="195"/>
      <c r="KPO21" s="197"/>
      <c r="KPP21" s="198"/>
      <c r="KPQ21" s="199"/>
      <c r="KPR21" s="194"/>
      <c r="KPS21" s="194"/>
      <c r="KPT21" s="194"/>
      <c r="KPU21" s="195"/>
      <c r="KPV21" s="195"/>
      <c r="KPW21" s="196"/>
      <c r="KPX21" s="195"/>
      <c r="KPY21" s="197"/>
      <c r="KPZ21" s="198"/>
      <c r="KQA21" s="199"/>
      <c r="KQB21" s="194"/>
      <c r="KQC21" s="194"/>
      <c r="KQD21" s="194"/>
      <c r="KQE21" s="195"/>
      <c r="KQF21" s="195"/>
      <c r="KQG21" s="196"/>
      <c r="KQH21" s="195"/>
      <c r="KQI21" s="197"/>
      <c r="KQJ21" s="198"/>
      <c r="KQK21" s="199"/>
      <c r="KQL21" s="194"/>
      <c r="KQM21" s="194"/>
      <c r="KQN21" s="194"/>
      <c r="KQO21" s="195"/>
      <c r="KQP21" s="195"/>
      <c r="KQQ21" s="196"/>
      <c r="KQR21" s="195"/>
      <c r="KQS21" s="197"/>
      <c r="KQT21" s="198"/>
      <c r="KQU21" s="199"/>
      <c r="KQV21" s="194"/>
      <c r="KQW21" s="194"/>
      <c r="KQX21" s="194"/>
      <c r="KQY21" s="195"/>
      <c r="KQZ21" s="195"/>
      <c r="KRA21" s="196"/>
      <c r="KRB21" s="195"/>
      <c r="KRC21" s="197"/>
      <c r="KRD21" s="198"/>
      <c r="KRE21" s="199"/>
      <c r="KRF21" s="194"/>
      <c r="KRG21" s="194"/>
      <c r="KRH21" s="194"/>
      <c r="KRI21" s="195"/>
      <c r="KRJ21" s="195"/>
      <c r="KRK21" s="196"/>
      <c r="KRL21" s="195"/>
      <c r="KRM21" s="197"/>
      <c r="KRN21" s="198"/>
      <c r="KRO21" s="199"/>
      <c r="KRP21" s="194"/>
      <c r="KRQ21" s="194"/>
      <c r="KRR21" s="194"/>
      <c r="KRS21" s="195"/>
      <c r="KRT21" s="195"/>
      <c r="KRU21" s="196"/>
      <c r="KRV21" s="195"/>
      <c r="KRW21" s="197"/>
      <c r="KRX21" s="198"/>
      <c r="KRY21" s="199"/>
      <c r="KRZ21" s="194"/>
      <c r="KSA21" s="194"/>
      <c r="KSB21" s="194"/>
      <c r="KSC21" s="195"/>
      <c r="KSD21" s="195"/>
      <c r="KSE21" s="196"/>
      <c r="KSF21" s="195"/>
      <c r="KSG21" s="197"/>
      <c r="KSH21" s="198"/>
      <c r="KSI21" s="199"/>
      <c r="KSJ21" s="194"/>
      <c r="KSK21" s="194"/>
      <c r="KSL21" s="194"/>
      <c r="KSM21" s="195"/>
      <c r="KSN21" s="195"/>
      <c r="KSO21" s="196"/>
      <c r="KSP21" s="195"/>
      <c r="KSQ21" s="197"/>
      <c r="KSR21" s="198"/>
      <c r="KSS21" s="199"/>
      <c r="KST21" s="194"/>
      <c r="KSU21" s="194"/>
      <c r="KSV21" s="194"/>
      <c r="KSW21" s="195"/>
      <c r="KSX21" s="195"/>
      <c r="KSY21" s="196"/>
      <c r="KSZ21" s="195"/>
      <c r="KTA21" s="197"/>
      <c r="KTB21" s="198"/>
      <c r="KTC21" s="199"/>
      <c r="KTD21" s="194"/>
      <c r="KTE21" s="194"/>
      <c r="KTF21" s="194"/>
      <c r="KTG21" s="195"/>
      <c r="KTH21" s="195"/>
      <c r="KTI21" s="196"/>
      <c r="KTJ21" s="195"/>
      <c r="KTK21" s="197"/>
      <c r="KTL21" s="198"/>
      <c r="KTM21" s="199"/>
      <c r="KTN21" s="194"/>
      <c r="KTO21" s="194"/>
      <c r="KTP21" s="194"/>
      <c r="KTQ21" s="195"/>
      <c r="KTR21" s="195"/>
      <c r="KTS21" s="196"/>
      <c r="KTT21" s="195"/>
      <c r="KTU21" s="197"/>
      <c r="KTV21" s="198"/>
      <c r="KTW21" s="199"/>
      <c r="KTX21" s="194"/>
      <c r="KTY21" s="194"/>
      <c r="KTZ21" s="194"/>
      <c r="KUA21" s="195"/>
      <c r="KUB21" s="195"/>
      <c r="KUC21" s="196"/>
      <c r="KUD21" s="195"/>
      <c r="KUE21" s="197"/>
      <c r="KUF21" s="198"/>
      <c r="KUG21" s="199"/>
      <c r="KUH21" s="194"/>
      <c r="KUI21" s="194"/>
      <c r="KUJ21" s="194"/>
      <c r="KUK21" s="195"/>
      <c r="KUL21" s="195"/>
      <c r="KUM21" s="196"/>
      <c r="KUN21" s="195"/>
      <c r="KUO21" s="197"/>
      <c r="KUP21" s="198"/>
      <c r="KUQ21" s="199"/>
      <c r="KUR21" s="194"/>
      <c r="KUS21" s="194"/>
      <c r="KUT21" s="194"/>
      <c r="KUU21" s="195"/>
      <c r="KUV21" s="195"/>
      <c r="KUW21" s="196"/>
      <c r="KUX21" s="195"/>
      <c r="KUY21" s="197"/>
      <c r="KUZ21" s="198"/>
      <c r="KVA21" s="199"/>
      <c r="KVB21" s="194"/>
      <c r="KVC21" s="194"/>
      <c r="KVD21" s="194"/>
      <c r="KVE21" s="195"/>
      <c r="KVF21" s="195"/>
      <c r="KVG21" s="196"/>
      <c r="KVH21" s="195"/>
      <c r="KVI21" s="197"/>
      <c r="KVJ21" s="198"/>
      <c r="KVK21" s="199"/>
      <c r="KVL21" s="194"/>
      <c r="KVM21" s="194"/>
      <c r="KVN21" s="194"/>
      <c r="KVO21" s="195"/>
      <c r="KVP21" s="195"/>
      <c r="KVQ21" s="196"/>
      <c r="KVR21" s="195"/>
      <c r="KVS21" s="197"/>
      <c r="KVT21" s="198"/>
      <c r="KVU21" s="199"/>
      <c r="KVV21" s="194"/>
      <c r="KVW21" s="194"/>
      <c r="KVX21" s="194"/>
      <c r="KVY21" s="195"/>
      <c r="KVZ21" s="195"/>
      <c r="KWA21" s="196"/>
      <c r="KWB21" s="195"/>
      <c r="KWC21" s="197"/>
      <c r="KWD21" s="198"/>
      <c r="KWE21" s="199"/>
      <c r="KWF21" s="194"/>
      <c r="KWG21" s="194"/>
      <c r="KWH21" s="194"/>
      <c r="KWI21" s="195"/>
      <c r="KWJ21" s="195"/>
      <c r="KWK21" s="196"/>
      <c r="KWL21" s="195"/>
      <c r="KWM21" s="197"/>
      <c r="KWN21" s="198"/>
      <c r="KWO21" s="199"/>
      <c r="KWP21" s="194"/>
      <c r="KWQ21" s="194"/>
      <c r="KWR21" s="194"/>
      <c r="KWS21" s="195"/>
      <c r="KWT21" s="195"/>
      <c r="KWU21" s="196"/>
      <c r="KWV21" s="195"/>
      <c r="KWW21" s="197"/>
      <c r="KWX21" s="198"/>
      <c r="KWY21" s="199"/>
      <c r="KWZ21" s="194"/>
      <c r="KXA21" s="194"/>
      <c r="KXB21" s="194"/>
      <c r="KXC21" s="195"/>
      <c r="KXD21" s="195"/>
      <c r="KXE21" s="196"/>
      <c r="KXF21" s="195"/>
      <c r="KXG21" s="197"/>
      <c r="KXH21" s="198"/>
      <c r="KXI21" s="199"/>
      <c r="KXJ21" s="194"/>
      <c r="KXK21" s="194"/>
      <c r="KXL21" s="194"/>
      <c r="KXM21" s="195"/>
      <c r="KXN21" s="195"/>
      <c r="KXO21" s="196"/>
      <c r="KXP21" s="195"/>
      <c r="KXQ21" s="197"/>
      <c r="KXR21" s="198"/>
      <c r="KXS21" s="199"/>
      <c r="KXT21" s="194"/>
      <c r="KXU21" s="194"/>
      <c r="KXV21" s="194"/>
      <c r="KXW21" s="195"/>
      <c r="KXX21" s="195"/>
      <c r="KXY21" s="196"/>
      <c r="KXZ21" s="195"/>
      <c r="KYA21" s="197"/>
      <c r="KYB21" s="198"/>
      <c r="KYC21" s="199"/>
      <c r="KYD21" s="194"/>
      <c r="KYE21" s="194"/>
      <c r="KYF21" s="194"/>
      <c r="KYG21" s="195"/>
      <c r="KYH21" s="195"/>
      <c r="KYI21" s="196"/>
      <c r="KYJ21" s="195"/>
      <c r="KYK21" s="197"/>
      <c r="KYL21" s="198"/>
      <c r="KYM21" s="199"/>
      <c r="KYN21" s="194"/>
      <c r="KYO21" s="194"/>
      <c r="KYP21" s="194"/>
      <c r="KYQ21" s="195"/>
      <c r="KYR21" s="195"/>
      <c r="KYS21" s="196"/>
      <c r="KYT21" s="195"/>
      <c r="KYU21" s="197"/>
      <c r="KYV21" s="198"/>
      <c r="KYW21" s="199"/>
      <c r="KYX21" s="194"/>
      <c r="KYY21" s="194"/>
      <c r="KYZ21" s="194"/>
      <c r="KZA21" s="195"/>
      <c r="KZB21" s="195"/>
      <c r="KZC21" s="196"/>
      <c r="KZD21" s="195"/>
      <c r="KZE21" s="197"/>
      <c r="KZF21" s="198"/>
      <c r="KZG21" s="199"/>
      <c r="KZH21" s="194"/>
      <c r="KZI21" s="194"/>
      <c r="KZJ21" s="194"/>
      <c r="KZK21" s="195"/>
      <c r="KZL21" s="195"/>
      <c r="KZM21" s="196"/>
      <c r="KZN21" s="195"/>
      <c r="KZO21" s="197"/>
      <c r="KZP21" s="198"/>
      <c r="KZQ21" s="199"/>
      <c r="KZR21" s="194"/>
      <c r="KZS21" s="194"/>
      <c r="KZT21" s="194"/>
      <c r="KZU21" s="195"/>
      <c r="KZV21" s="195"/>
      <c r="KZW21" s="196"/>
      <c r="KZX21" s="195"/>
      <c r="KZY21" s="197"/>
      <c r="KZZ21" s="198"/>
      <c r="LAA21" s="199"/>
      <c r="LAB21" s="194"/>
      <c r="LAC21" s="194"/>
      <c r="LAD21" s="194"/>
      <c r="LAE21" s="195"/>
      <c r="LAF21" s="195"/>
      <c r="LAG21" s="196"/>
      <c r="LAH21" s="195"/>
      <c r="LAI21" s="197"/>
      <c r="LAJ21" s="198"/>
      <c r="LAK21" s="199"/>
      <c r="LAL21" s="194"/>
      <c r="LAM21" s="194"/>
      <c r="LAN21" s="194"/>
      <c r="LAO21" s="195"/>
      <c r="LAP21" s="195"/>
      <c r="LAQ21" s="196"/>
      <c r="LAR21" s="195"/>
      <c r="LAS21" s="197"/>
      <c r="LAT21" s="198"/>
      <c r="LAU21" s="199"/>
      <c r="LAV21" s="194"/>
      <c r="LAW21" s="194"/>
      <c r="LAX21" s="194"/>
      <c r="LAY21" s="195"/>
      <c r="LAZ21" s="195"/>
      <c r="LBA21" s="196"/>
      <c r="LBB21" s="195"/>
      <c r="LBC21" s="197"/>
      <c r="LBD21" s="198"/>
      <c r="LBE21" s="199"/>
      <c r="LBF21" s="194"/>
      <c r="LBG21" s="194"/>
      <c r="LBH21" s="194"/>
      <c r="LBI21" s="195"/>
      <c r="LBJ21" s="195"/>
      <c r="LBK21" s="196"/>
      <c r="LBL21" s="195"/>
      <c r="LBM21" s="197"/>
      <c r="LBN21" s="198"/>
      <c r="LBO21" s="199"/>
      <c r="LBP21" s="194"/>
      <c r="LBQ21" s="194"/>
      <c r="LBR21" s="194"/>
      <c r="LBS21" s="195"/>
      <c r="LBT21" s="195"/>
      <c r="LBU21" s="196"/>
      <c r="LBV21" s="195"/>
      <c r="LBW21" s="197"/>
      <c r="LBX21" s="198"/>
      <c r="LBY21" s="199"/>
      <c r="LBZ21" s="194"/>
      <c r="LCA21" s="194"/>
      <c r="LCB21" s="194"/>
      <c r="LCC21" s="195"/>
      <c r="LCD21" s="195"/>
      <c r="LCE21" s="196"/>
      <c r="LCF21" s="195"/>
      <c r="LCG21" s="197"/>
      <c r="LCH21" s="198"/>
      <c r="LCI21" s="199"/>
      <c r="LCJ21" s="194"/>
      <c r="LCK21" s="194"/>
      <c r="LCL21" s="194"/>
      <c r="LCM21" s="195"/>
      <c r="LCN21" s="195"/>
      <c r="LCO21" s="196"/>
      <c r="LCP21" s="195"/>
      <c r="LCQ21" s="197"/>
      <c r="LCR21" s="198"/>
      <c r="LCS21" s="199"/>
      <c r="LCT21" s="194"/>
      <c r="LCU21" s="194"/>
      <c r="LCV21" s="194"/>
      <c r="LCW21" s="195"/>
      <c r="LCX21" s="195"/>
      <c r="LCY21" s="196"/>
      <c r="LCZ21" s="195"/>
      <c r="LDA21" s="197"/>
      <c r="LDB21" s="198"/>
      <c r="LDC21" s="199"/>
      <c r="LDD21" s="194"/>
      <c r="LDE21" s="194"/>
      <c r="LDF21" s="194"/>
      <c r="LDG21" s="195"/>
      <c r="LDH21" s="195"/>
      <c r="LDI21" s="196"/>
      <c r="LDJ21" s="195"/>
      <c r="LDK21" s="197"/>
      <c r="LDL21" s="198"/>
      <c r="LDM21" s="199"/>
      <c r="LDN21" s="194"/>
      <c r="LDO21" s="194"/>
      <c r="LDP21" s="194"/>
      <c r="LDQ21" s="195"/>
      <c r="LDR21" s="195"/>
      <c r="LDS21" s="196"/>
      <c r="LDT21" s="195"/>
      <c r="LDU21" s="197"/>
      <c r="LDV21" s="198"/>
      <c r="LDW21" s="199"/>
      <c r="LDX21" s="194"/>
      <c r="LDY21" s="194"/>
      <c r="LDZ21" s="194"/>
      <c r="LEA21" s="195"/>
      <c r="LEB21" s="195"/>
      <c r="LEC21" s="196"/>
      <c r="LED21" s="195"/>
      <c r="LEE21" s="197"/>
      <c r="LEF21" s="198"/>
      <c r="LEG21" s="199"/>
      <c r="LEH21" s="194"/>
      <c r="LEI21" s="194"/>
      <c r="LEJ21" s="194"/>
      <c r="LEK21" s="195"/>
      <c r="LEL21" s="195"/>
      <c r="LEM21" s="196"/>
      <c r="LEN21" s="195"/>
      <c r="LEO21" s="197"/>
      <c r="LEP21" s="198"/>
      <c r="LEQ21" s="199"/>
      <c r="LER21" s="194"/>
      <c r="LES21" s="194"/>
      <c r="LET21" s="194"/>
      <c r="LEU21" s="195"/>
      <c r="LEV21" s="195"/>
      <c r="LEW21" s="196"/>
      <c r="LEX21" s="195"/>
      <c r="LEY21" s="197"/>
      <c r="LEZ21" s="198"/>
      <c r="LFA21" s="199"/>
      <c r="LFB21" s="194"/>
      <c r="LFC21" s="194"/>
      <c r="LFD21" s="194"/>
      <c r="LFE21" s="195"/>
      <c r="LFF21" s="195"/>
      <c r="LFG21" s="196"/>
      <c r="LFH21" s="195"/>
      <c r="LFI21" s="197"/>
      <c r="LFJ21" s="198"/>
      <c r="LFK21" s="199"/>
      <c r="LFL21" s="194"/>
      <c r="LFM21" s="194"/>
      <c r="LFN21" s="194"/>
      <c r="LFO21" s="195"/>
      <c r="LFP21" s="195"/>
      <c r="LFQ21" s="196"/>
      <c r="LFR21" s="195"/>
      <c r="LFS21" s="197"/>
      <c r="LFT21" s="198"/>
      <c r="LFU21" s="199"/>
      <c r="LFV21" s="194"/>
      <c r="LFW21" s="194"/>
      <c r="LFX21" s="194"/>
      <c r="LFY21" s="195"/>
      <c r="LFZ21" s="195"/>
      <c r="LGA21" s="196"/>
      <c r="LGB21" s="195"/>
      <c r="LGC21" s="197"/>
      <c r="LGD21" s="198"/>
      <c r="LGE21" s="199"/>
      <c r="LGF21" s="194"/>
      <c r="LGG21" s="194"/>
      <c r="LGH21" s="194"/>
      <c r="LGI21" s="195"/>
      <c r="LGJ21" s="195"/>
      <c r="LGK21" s="196"/>
      <c r="LGL21" s="195"/>
      <c r="LGM21" s="197"/>
      <c r="LGN21" s="198"/>
      <c r="LGO21" s="199"/>
      <c r="LGP21" s="194"/>
      <c r="LGQ21" s="194"/>
      <c r="LGR21" s="194"/>
      <c r="LGS21" s="195"/>
      <c r="LGT21" s="195"/>
      <c r="LGU21" s="196"/>
      <c r="LGV21" s="195"/>
      <c r="LGW21" s="197"/>
      <c r="LGX21" s="198"/>
      <c r="LGY21" s="199"/>
      <c r="LGZ21" s="194"/>
      <c r="LHA21" s="194"/>
      <c r="LHB21" s="194"/>
      <c r="LHC21" s="195"/>
      <c r="LHD21" s="195"/>
      <c r="LHE21" s="196"/>
      <c r="LHF21" s="195"/>
      <c r="LHG21" s="197"/>
      <c r="LHH21" s="198"/>
      <c r="LHI21" s="199"/>
      <c r="LHJ21" s="194"/>
      <c r="LHK21" s="194"/>
      <c r="LHL21" s="194"/>
      <c r="LHM21" s="195"/>
      <c r="LHN21" s="195"/>
      <c r="LHO21" s="196"/>
      <c r="LHP21" s="195"/>
      <c r="LHQ21" s="197"/>
      <c r="LHR21" s="198"/>
      <c r="LHS21" s="199"/>
      <c r="LHT21" s="194"/>
      <c r="LHU21" s="194"/>
      <c r="LHV21" s="194"/>
      <c r="LHW21" s="195"/>
      <c r="LHX21" s="195"/>
      <c r="LHY21" s="196"/>
      <c r="LHZ21" s="195"/>
      <c r="LIA21" s="197"/>
      <c r="LIB21" s="198"/>
      <c r="LIC21" s="199"/>
      <c r="LID21" s="194"/>
      <c r="LIE21" s="194"/>
      <c r="LIF21" s="194"/>
      <c r="LIG21" s="195"/>
      <c r="LIH21" s="195"/>
      <c r="LII21" s="196"/>
      <c r="LIJ21" s="195"/>
      <c r="LIK21" s="197"/>
      <c r="LIL21" s="198"/>
      <c r="LIM21" s="199"/>
      <c r="LIN21" s="194"/>
      <c r="LIO21" s="194"/>
      <c r="LIP21" s="194"/>
      <c r="LIQ21" s="195"/>
      <c r="LIR21" s="195"/>
      <c r="LIS21" s="196"/>
      <c r="LIT21" s="195"/>
      <c r="LIU21" s="197"/>
      <c r="LIV21" s="198"/>
      <c r="LIW21" s="199"/>
      <c r="LIX21" s="194"/>
      <c r="LIY21" s="194"/>
      <c r="LIZ21" s="194"/>
      <c r="LJA21" s="195"/>
      <c r="LJB21" s="195"/>
      <c r="LJC21" s="196"/>
      <c r="LJD21" s="195"/>
      <c r="LJE21" s="197"/>
      <c r="LJF21" s="198"/>
      <c r="LJG21" s="199"/>
      <c r="LJH21" s="194"/>
      <c r="LJI21" s="194"/>
      <c r="LJJ21" s="194"/>
      <c r="LJK21" s="195"/>
      <c r="LJL21" s="195"/>
      <c r="LJM21" s="196"/>
      <c r="LJN21" s="195"/>
      <c r="LJO21" s="197"/>
      <c r="LJP21" s="198"/>
      <c r="LJQ21" s="199"/>
      <c r="LJR21" s="194"/>
      <c r="LJS21" s="194"/>
      <c r="LJT21" s="194"/>
      <c r="LJU21" s="195"/>
      <c r="LJV21" s="195"/>
      <c r="LJW21" s="196"/>
      <c r="LJX21" s="195"/>
      <c r="LJY21" s="197"/>
      <c r="LJZ21" s="198"/>
      <c r="LKA21" s="199"/>
      <c r="LKB21" s="194"/>
      <c r="LKC21" s="194"/>
      <c r="LKD21" s="194"/>
      <c r="LKE21" s="195"/>
      <c r="LKF21" s="195"/>
      <c r="LKG21" s="196"/>
      <c r="LKH21" s="195"/>
      <c r="LKI21" s="197"/>
      <c r="LKJ21" s="198"/>
      <c r="LKK21" s="199"/>
      <c r="LKL21" s="194"/>
      <c r="LKM21" s="194"/>
      <c r="LKN21" s="194"/>
      <c r="LKO21" s="195"/>
      <c r="LKP21" s="195"/>
      <c r="LKQ21" s="196"/>
      <c r="LKR21" s="195"/>
      <c r="LKS21" s="197"/>
      <c r="LKT21" s="198"/>
      <c r="LKU21" s="199"/>
      <c r="LKV21" s="194"/>
      <c r="LKW21" s="194"/>
      <c r="LKX21" s="194"/>
      <c r="LKY21" s="195"/>
      <c r="LKZ21" s="195"/>
      <c r="LLA21" s="196"/>
      <c r="LLB21" s="195"/>
      <c r="LLC21" s="197"/>
      <c r="LLD21" s="198"/>
      <c r="LLE21" s="199"/>
      <c r="LLF21" s="194"/>
      <c r="LLG21" s="194"/>
      <c r="LLH21" s="194"/>
      <c r="LLI21" s="195"/>
      <c r="LLJ21" s="195"/>
      <c r="LLK21" s="196"/>
      <c r="LLL21" s="195"/>
      <c r="LLM21" s="197"/>
      <c r="LLN21" s="198"/>
      <c r="LLO21" s="199"/>
      <c r="LLP21" s="194"/>
      <c r="LLQ21" s="194"/>
      <c r="LLR21" s="194"/>
      <c r="LLS21" s="195"/>
      <c r="LLT21" s="195"/>
      <c r="LLU21" s="196"/>
      <c r="LLV21" s="195"/>
      <c r="LLW21" s="197"/>
      <c r="LLX21" s="198"/>
      <c r="LLY21" s="199"/>
      <c r="LLZ21" s="194"/>
      <c r="LMA21" s="194"/>
      <c r="LMB21" s="194"/>
      <c r="LMC21" s="195"/>
      <c r="LMD21" s="195"/>
      <c r="LME21" s="196"/>
      <c r="LMF21" s="195"/>
      <c r="LMG21" s="197"/>
      <c r="LMH21" s="198"/>
      <c r="LMI21" s="199"/>
      <c r="LMJ21" s="194"/>
      <c r="LMK21" s="194"/>
      <c r="LML21" s="194"/>
      <c r="LMM21" s="195"/>
      <c r="LMN21" s="195"/>
      <c r="LMO21" s="196"/>
      <c r="LMP21" s="195"/>
      <c r="LMQ21" s="197"/>
      <c r="LMR21" s="198"/>
      <c r="LMS21" s="199"/>
      <c r="LMT21" s="194"/>
      <c r="LMU21" s="194"/>
      <c r="LMV21" s="194"/>
      <c r="LMW21" s="195"/>
      <c r="LMX21" s="195"/>
      <c r="LMY21" s="196"/>
      <c r="LMZ21" s="195"/>
      <c r="LNA21" s="197"/>
      <c r="LNB21" s="198"/>
      <c r="LNC21" s="199"/>
      <c r="LND21" s="194"/>
      <c r="LNE21" s="194"/>
      <c r="LNF21" s="194"/>
      <c r="LNG21" s="195"/>
      <c r="LNH21" s="195"/>
      <c r="LNI21" s="196"/>
      <c r="LNJ21" s="195"/>
      <c r="LNK21" s="197"/>
      <c r="LNL21" s="198"/>
      <c r="LNM21" s="199"/>
      <c r="LNN21" s="194"/>
      <c r="LNO21" s="194"/>
      <c r="LNP21" s="194"/>
      <c r="LNQ21" s="195"/>
      <c r="LNR21" s="195"/>
      <c r="LNS21" s="196"/>
      <c r="LNT21" s="195"/>
      <c r="LNU21" s="197"/>
      <c r="LNV21" s="198"/>
      <c r="LNW21" s="199"/>
      <c r="LNX21" s="194"/>
      <c r="LNY21" s="194"/>
      <c r="LNZ21" s="194"/>
      <c r="LOA21" s="195"/>
      <c r="LOB21" s="195"/>
      <c r="LOC21" s="196"/>
      <c r="LOD21" s="195"/>
      <c r="LOE21" s="197"/>
      <c r="LOF21" s="198"/>
      <c r="LOG21" s="199"/>
      <c r="LOH21" s="194"/>
      <c r="LOI21" s="194"/>
      <c r="LOJ21" s="194"/>
      <c r="LOK21" s="195"/>
      <c r="LOL21" s="195"/>
      <c r="LOM21" s="196"/>
      <c r="LON21" s="195"/>
      <c r="LOO21" s="197"/>
      <c r="LOP21" s="198"/>
      <c r="LOQ21" s="199"/>
      <c r="LOR21" s="194"/>
      <c r="LOS21" s="194"/>
      <c r="LOT21" s="194"/>
      <c r="LOU21" s="195"/>
      <c r="LOV21" s="195"/>
      <c r="LOW21" s="196"/>
      <c r="LOX21" s="195"/>
      <c r="LOY21" s="197"/>
      <c r="LOZ21" s="198"/>
      <c r="LPA21" s="199"/>
      <c r="LPB21" s="194"/>
      <c r="LPC21" s="194"/>
      <c r="LPD21" s="194"/>
      <c r="LPE21" s="195"/>
      <c r="LPF21" s="195"/>
      <c r="LPG21" s="196"/>
      <c r="LPH21" s="195"/>
      <c r="LPI21" s="197"/>
      <c r="LPJ21" s="198"/>
      <c r="LPK21" s="199"/>
      <c r="LPL21" s="194"/>
      <c r="LPM21" s="194"/>
      <c r="LPN21" s="194"/>
      <c r="LPO21" s="195"/>
      <c r="LPP21" s="195"/>
      <c r="LPQ21" s="196"/>
      <c r="LPR21" s="195"/>
      <c r="LPS21" s="197"/>
      <c r="LPT21" s="198"/>
      <c r="LPU21" s="199"/>
      <c r="LPV21" s="194"/>
      <c r="LPW21" s="194"/>
      <c r="LPX21" s="194"/>
      <c r="LPY21" s="195"/>
      <c r="LPZ21" s="195"/>
      <c r="LQA21" s="196"/>
      <c r="LQB21" s="195"/>
      <c r="LQC21" s="197"/>
      <c r="LQD21" s="198"/>
      <c r="LQE21" s="199"/>
      <c r="LQF21" s="194"/>
      <c r="LQG21" s="194"/>
      <c r="LQH21" s="194"/>
      <c r="LQI21" s="195"/>
      <c r="LQJ21" s="195"/>
      <c r="LQK21" s="196"/>
      <c r="LQL21" s="195"/>
      <c r="LQM21" s="197"/>
      <c r="LQN21" s="198"/>
      <c r="LQO21" s="199"/>
      <c r="LQP21" s="194"/>
      <c r="LQQ21" s="194"/>
      <c r="LQR21" s="194"/>
      <c r="LQS21" s="195"/>
      <c r="LQT21" s="195"/>
      <c r="LQU21" s="196"/>
      <c r="LQV21" s="195"/>
      <c r="LQW21" s="197"/>
      <c r="LQX21" s="198"/>
      <c r="LQY21" s="199"/>
      <c r="LQZ21" s="194"/>
      <c r="LRA21" s="194"/>
      <c r="LRB21" s="194"/>
      <c r="LRC21" s="195"/>
      <c r="LRD21" s="195"/>
      <c r="LRE21" s="196"/>
      <c r="LRF21" s="195"/>
      <c r="LRG21" s="197"/>
      <c r="LRH21" s="198"/>
      <c r="LRI21" s="199"/>
      <c r="LRJ21" s="194"/>
      <c r="LRK21" s="194"/>
      <c r="LRL21" s="194"/>
      <c r="LRM21" s="195"/>
      <c r="LRN21" s="195"/>
      <c r="LRO21" s="196"/>
      <c r="LRP21" s="195"/>
      <c r="LRQ21" s="197"/>
      <c r="LRR21" s="198"/>
      <c r="LRS21" s="199"/>
      <c r="LRT21" s="194"/>
      <c r="LRU21" s="194"/>
      <c r="LRV21" s="194"/>
      <c r="LRW21" s="195"/>
      <c r="LRX21" s="195"/>
      <c r="LRY21" s="196"/>
      <c r="LRZ21" s="195"/>
      <c r="LSA21" s="197"/>
      <c r="LSB21" s="198"/>
      <c r="LSC21" s="199"/>
      <c r="LSD21" s="194"/>
      <c r="LSE21" s="194"/>
      <c r="LSF21" s="194"/>
      <c r="LSG21" s="195"/>
      <c r="LSH21" s="195"/>
      <c r="LSI21" s="196"/>
      <c r="LSJ21" s="195"/>
      <c r="LSK21" s="197"/>
      <c r="LSL21" s="198"/>
      <c r="LSM21" s="199"/>
      <c r="LSN21" s="194"/>
      <c r="LSO21" s="194"/>
      <c r="LSP21" s="194"/>
      <c r="LSQ21" s="195"/>
      <c r="LSR21" s="195"/>
      <c r="LSS21" s="196"/>
      <c r="LST21" s="195"/>
      <c r="LSU21" s="197"/>
      <c r="LSV21" s="198"/>
      <c r="LSW21" s="199"/>
      <c r="LSX21" s="194"/>
      <c r="LSY21" s="194"/>
      <c r="LSZ21" s="194"/>
      <c r="LTA21" s="195"/>
      <c r="LTB21" s="195"/>
      <c r="LTC21" s="196"/>
      <c r="LTD21" s="195"/>
      <c r="LTE21" s="197"/>
      <c r="LTF21" s="198"/>
      <c r="LTG21" s="199"/>
      <c r="LTH21" s="194"/>
      <c r="LTI21" s="194"/>
      <c r="LTJ21" s="194"/>
      <c r="LTK21" s="195"/>
      <c r="LTL21" s="195"/>
      <c r="LTM21" s="196"/>
      <c r="LTN21" s="195"/>
      <c r="LTO21" s="197"/>
      <c r="LTP21" s="198"/>
      <c r="LTQ21" s="199"/>
      <c r="LTR21" s="194"/>
      <c r="LTS21" s="194"/>
      <c r="LTT21" s="194"/>
      <c r="LTU21" s="195"/>
      <c r="LTV21" s="195"/>
      <c r="LTW21" s="196"/>
      <c r="LTX21" s="195"/>
      <c r="LTY21" s="197"/>
      <c r="LTZ21" s="198"/>
      <c r="LUA21" s="199"/>
      <c r="LUB21" s="194"/>
      <c r="LUC21" s="194"/>
      <c r="LUD21" s="194"/>
      <c r="LUE21" s="195"/>
      <c r="LUF21" s="195"/>
      <c r="LUG21" s="196"/>
      <c r="LUH21" s="195"/>
      <c r="LUI21" s="197"/>
      <c r="LUJ21" s="198"/>
      <c r="LUK21" s="199"/>
      <c r="LUL21" s="194"/>
      <c r="LUM21" s="194"/>
      <c r="LUN21" s="194"/>
      <c r="LUO21" s="195"/>
      <c r="LUP21" s="195"/>
      <c r="LUQ21" s="196"/>
      <c r="LUR21" s="195"/>
      <c r="LUS21" s="197"/>
      <c r="LUT21" s="198"/>
      <c r="LUU21" s="199"/>
      <c r="LUV21" s="194"/>
      <c r="LUW21" s="194"/>
      <c r="LUX21" s="194"/>
      <c r="LUY21" s="195"/>
      <c r="LUZ21" s="195"/>
      <c r="LVA21" s="196"/>
      <c r="LVB21" s="195"/>
      <c r="LVC21" s="197"/>
      <c r="LVD21" s="198"/>
      <c r="LVE21" s="199"/>
      <c r="LVF21" s="194"/>
      <c r="LVG21" s="194"/>
      <c r="LVH21" s="194"/>
      <c r="LVI21" s="195"/>
      <c r="LVJ21" s="195"/>
      <c r="LVK21" s="196"/>
      <c r="LVL21" s="195"/>
      <c r="LVM21" s="197"/>
      <c r="LVN21" s="198"/>
      <c r="LVO21" s="199"/>
      <c r="LVP21" s="194"/>
      <c r="LVQ21" s="194"/>
      <c r="LVR21" s="194"/>
      <c r="LVS21" s="195"/>
      <c r="LVT21" s="195"/>
      <c r="LVU21" s="196"/>
      <c r="LVV21" s="195"/>
      <c r="LVW21" s="197"/>
      <c r="LVX21" s="198"/>
      <c r="LVY21" s="199"/>
      <c r="LVZ21" s="194"/>
      <c r="LWA21" s="194"/>
      <c r="LWB21" s="194"/>
      <c r="LWC21" s="195"/>
      <c r="LWD21" s="195"/>
      <c r="LWE21" s="196"/>
      <c r="LWF21" s="195"/>
      <c r="LWG21" s="197"/>
      <c r="LWH21" s="198"/>
      <c r="LWI21" s="199"/>
      <c r="LWJ21" s="194"/>
      <c r="LWK21" s="194"/>
      <c r="LWL21" s="194"/>
      <c r="LWM21" s="195"/>
      <c r="LWN21" s="195"/>
      <c r="LWO21" s="196"/>
      <c r="LWP21" s="195"/>
      <c r="LWQ21" s="197"/>
      <c r="LWR21" s="198"/>
      <c r="LWS21" s="199"/>
      <c r="LWT21" s="194"/>
      <c r="LWU21" s="194"/>
      <c r="LWV21" s="194"/>
      <c r="LWW21" s="195"/>
      <c r="LWX21" s="195"/>
      <c r="LWY21" s="196"/>
      <c r="LWZ21" s="195"/>
      <c r="LXA21" s="197"/>
      <c r="LXB21" s="198"/>
      <c r="LXC21" s="199"/>
      <c r="LXD21" s="194"/>
      <c r="LXE21" s="194"/>
      <c r="LXF21" s="194"/>
      <c r="LXG21" s="195"/>
      <c r="LXH21" s="195"/>
      <c r="LXI21" s="196"/>
      <c r="LXJ21" s="195"/>
      <c r="LXK21" s="197"/>
      <c r="LXL21" s="198"/>
      <c r="LXM21" s="199"/>
      <c r="LXN21" s="194"/>
      <c r="LXO21" s="194"/>
      <c r="LXP21" s="194"/>
      <c r="LXQ21" s="195"/>
      <c r="LXR21" s="195"/>
      <c r="LXS21" s="196"/>
      <c r="LXT21" s="195"/>
      <c r="LXU21" s="197"/>
      <c r="LXV21" s="198"/>
      <c r="LXW21" s="199"/>
      <c r="LXX21" s="194"/>
      <c r="LXY21" s="194"/>
      <c r="LXZ21" s="194"/>
      <c r="LYA21" s="195"/>
      <c r="LYB21" s="195"/>
      <c r="LYC21" s="196"/>
      <c r="LYD21" s="195"/>
      <c r="LYE21" s="197"/>
      <c r="LYF21" s="198"/>
      <c r="LYG21" s="199"/>
      <c r="LYH21" s="194"/>
      <c r="LYI21" s="194"/>
      <c r="LYJ21" s="194"/>
      <c r="LYK21" s="195"/>
      <c r="LYL21" s="195"/>
      <c r="LYM21" s="196"/>
      <c r="LYN21" s="195"/>
      <c r="LYO21" s="197"/>
      <c r="LYP21" s="198"/>
      <c r="LYQ21" s="199"/>
      <c r="LYR21" s="194"/>
      <c r="LYS21" s="194"/>
      <c r="LYT21" s="194"/>
      <c r="LYU21" s="195"/>
      <c r="LYV21" s="195"/>
      <c r="LYW21" s="196"/>
      <c r="LYX21" s="195"/>
      <c r="LYY21" s="197"/>
      <c r="LYZ21" s="198"/>
      <c r="LZA21" s="199"/>
      <c r="LZB21" s="194"/>
      <c r="LZC21" s="194"/>
      <c r="LZD21" s="194"/>
      <c r="LZE21" s="195"/>
      <c r="LZF21" s="195"/>
      <c r="LZG21" s="196"/>
      <c r="LZH21" s="195"/>
      <c r="LZI21" s="197"/>
      <c r="LZJ21" s="198"/>
      <c r="LZK21" s="199"/>
      <c r="LZL21" s="194"/>
      <c r="LZM21" s="194"/>
      <c r="LZN21" s="194"/>
      <c r="LZO21" s="195"/>
      <c r="LZP21" s="195"/>
      <c r="LZQ21" s="196"/>
      <c r="LZR21" s="195"/>
      <c r="LZS21" s="197"/>
      <c r="LZT21" s="198"/>
      <c r="LZU21" s="199"/>
      <c r="LZV21" s="194"/>
      <c r="LZW21" s="194"/>
      <c r="LZX21" s="194"/>
      <c r="LZY21" s="195"/>
      <c r="LZZ21" s="195"/>
      <c r="MAA21" s="196"/>
      <c r="MAB21" s="195"/>
      <c r="MAC21" s="197"/>
      <c r="MAD21" s="198"/>
      <c r="MAE21" s="199"/>
      <c r="MAF21" s="194"/>
      <c r="MAG21" s="194"/>
      <c r="MAH21" s="194"/>
      <c r="MAI21" s="195"/>
      <c r="MAJ21" s="195"/>
      <c r="MAK21" s="196"/>
      <c r="MAL21" s="195"/>
      <c r="MAM21" s="197"/>
      <c r="MAN21" s="198"/>
      <c r="MAO21" s="199"/>
      <c r="MAP21" s="194"/>
      <c r="MAQ21" s="194"/>
      <c r="MAR21" s="194"/>
      <c r="MAS21" s="195"/>
      <c r="MAT21" s="195"/>
      <c r="MAU21" s="196"/>
      <c r="MAV21" s="195"/>
      <c r="MAW21" s="197"/>
      <c r="MAX21" s="198"/>
      <c r="MAY21" s="199"/>
      <c r="MAZ21" s="194"/>
      <c r="MBA21" s="194"/>
      <c r="MBB21" s="194"/>
      <c r="MBC21" s="195"/>
      <c r="MBD21" s="195"/>
      <c r="MBE21" s="196"/>
      <c r="MBF21" s="195"/>
      <c r="MBG21" s="197"/>
      <c r="MBH21" s="198"/>
      <c r="MBI21" s="199"/>
      <c r="MBJ21" s="194"/>
      <c r="MBK21" s="194"/>
      <c r="MBL21" s="194"/>
      <c r="MBM21" s="195"/>
      <c r="MBN21" s="195"/>
      <c r="MBO21" s="196"/>
      <c r="MBP21" s="195"/>
      <c r="MBQ21" s="197"/>
      <c r="MBR21" s="198"/>
      <c r="MBS21" s="199"/>
      <c r="MBT21" s="194"/>
      <c r="MBU21" s="194"/>
      <c r="MBV21" s="194"/>
      <c r="MBW21" s="195"/>
      <c r="MBX21" s="195"/>
      <c r="MBY21" s="196"/>
      <c r="MBZ21" s="195"/>
      <c r="MCA21" s="197"/>
      <c r="MCB21" s="198"/>
      <c r="MCC21" s="199"/>
      <c r="MCD21" s="194"/>
      <c r="MCE21" s="194"/>
      <c r="MCF21" s="194"/>
      <c r="MCG21" s="195"/>
      <c r="MCH21" s="195"/>
      <c r="MCI21" s="196"/>
      <c r="MCJ21" s="195"/>
      <c r="MCK21" s="197"/>
      <c r="MCL21" s="198"/>
      <c r="MCM21" s="199"/>
      <c r="MCN21" s="194"/>
      <c r="MCO21" s="194"/>
      <c r="MCP21" s="194"/>
      <c r="MCQ21" s="195"/>
      <c r="MCR21" s="195"/>
      <c r="MCS21" s="196"/>
      <c r="MCT21" s="195"/>
      <c r="MCU21" s="197"/>
      <c r="MCV21" s="198"/>
      <c r="MCW21" s="199"/>
      <c r="MCX21" s="194"/>
      <c r="MCY21" s="194"/>
      <c r="MCZ21" s="194"/>
      <c r="MDA21" s="195"/>
      <c r="MDB21" s="195"/>
      <c r="MDC21" s="196"/>
      <c r="MDD21" s="195"/>
      <c r="MDE21" s="197"/>
      <c r="MDF21" s="198"/>
      <c r="MDG21" s="199"/>
      <c r="MDH21" s="194"/>
      <c r="MDI21" s="194"/>
      <c r="MDJ21" s="194"/>
      <c r="MDK21" s="195"/>
      <c r="MDL21" s="195"/>
      <c r="MDM21" s="196"/>
      <c r="MDN21" s="195"/>
      <c r="MDO21" s="197"/>
      <c r="MDP21" s="198"/>
      <c r="MDQ21" s="199"/>
      <c r="MDR21" s="194"/>
      <c r="MDS21" s="194"/>
      <c r="MDT21" s="194"/>
      <c r="MDU21" s="195"/>
      <c r="MDV21" s="195"/>
      <c r="MDW21" s="196"/>
      <c r="MDX21" s="195"/>
      <c r="MDY21" s="197"/>
      <c r="MDZ21" s="198"/>
      <c r="MEA21" s="199"/>
      <c r="MEB21" s="194"/>
      <c r="MEC21" s="194"/>
      <c r="MED21" s="194"/>
      <c r="MEE21" s="195"/>
      <c r="MEF21" s="195"/>
      <c r="MEG21" s="196"/>
      <c r="MEH21" s="195"/>
      <c r="MEI21" s="197"/>
      <c r="MEJ21" s="198"/>
      <c r="MEK21" s="199"/>
      <c r="MEL21" s="194"/>
      <c r="MEM21" s="194"/>
      <c r="MEN21" s="194"/>
      <c r="MEO21" s="195"/>
      <c r="MEP21" s="195"/>
      <c r="MEQ21" s="196"/>
      <c r="MER21" s="195"/>
      <c r="MES21" s="197"/>
      <c r="MET21" s="198"/>
      <c r="MEU21" s="199"/>
      <c r="MEV21" s="194"/>
      <c r="MEW21" s="194"/>
      <c r="MEX21" s="194"/>
      <c r="MEY21" s="195"/>
      <c r="MEZ21" s="195"/>
      <c r="MFA21" s="196"/>
      <c r="MFB21" s="195"/>
      <c r="MFC21" s="197"/>
      <c r="MFD21" s="198"/>
      <c r="MFE21" s="199"/>
      <c r="MFF21" s="194"/>
      <c r="MFG21" s="194"/>
      <c r="MFH21" s="194"/>
      <c r="MFI21" s="195"/>
      <c r="MFJ21" s="195"/>
      <c r="MFK21" s="196"/>
      <c r="MFL21" s="195"/>
      <c r="MFM21" s="197"/>
      <c r="MFN21" s="198"/>
      <c r="MFO21" s="199"/>
      <c r="MFP21" s="194"/>
      <c r="MFQ21" s="194"/>
      <c r="MFR21" s="194"/>
      <c r="MFS21" s="195"/>
      <c r="MFT21" s="195"/>
      <c r="MFU21" s="196"/>
      <c r="MFV21" s="195"/>
      <c r="MFW21" s="197"/>
      <c r="MFX21" s="198"/>
      <c r="MFY21" s="199"/>
      <c r="MFZ21" s="194"/>
      <c r="MGA21" s="194"/>
      <c r="MGB21" s="194"/>
      <c r="MGC21" s="195"/>
      <c r="MGD21" s="195"/>
      <c r="MGE21" s="196"/>
      <c r="MGF21" s="195"/>
      <c r="MGG21" s="197"/>
      <c r="MGH21" s="198"/>
      <c r="MGI21" s="199"/>
      <c r="MGJ21" s="194"/>
      <c r="MGK21" s="194"/>
      <c r="MGL21" s="194"/>
      <c r="MGM21" s="195"/>
      <c r="MGN21" s="195"/>
      <c r="MGO21" s="196"/>
      <c r="MGP21" s="195"/>
      <c r="MGQ21" s="197"/>
      <c r="MGR21" s="198"/>
      <c r="MGS21" s="199"/>
      <c r="MGT21" s="194"/>
      <c r="MGU21" s="194"/>
      <c r="MGV21" s="194"/>
      <c r="MGW21" s="195"/>
      <c r="MGX21" s="195"/>
      <c r="MGY21" s="196"/>
      <c r="MGZ21" s="195"/>
      <c r="MHA21" s="197"/>
      <c r="MHB21" s="198"/>
      <c r="MHC21" s="199"/>
      <c r="MHD21" s="194"/>
      <c r="MHE21" s="194"/>
      <c r="MHF21" s="194"/>
      <c r="MHG21" s="195"/>
      <c r="MHH21" s="195"/>
      <c r="MHI21" s="196"/>
      <c r="MHJ21" s="195"/>
      <c r="MHK21" s="197"/>
      <c r="MHL21" s="198"/>
      <c r="MHM21" s="199"/>
      <c r="MHN21" s="194"/>
      <c r="MHO21" s="194"/>
      <c r="MHP21" s="194"/>
      <c r="MHQ21" s="195"/>
      <c r="MHR21" s="195"/>
      <c r="MHS21" s="196"/>
      <c r="MHT21" s="195"/>
      <c r="MHU21" s="197"/>
      <c r="MHV21" s="198"/>
      <c r="MHW21" s="199"/>
      <c r="MHX21" s="194"/>
      <c r="MHY21" s="194"/>
      <c r="MHZ21" s="194"/>
      <c r="MIA21" s="195"/>
      <c r="MIB21" s="195"/>
      <c r="MIC21" s="196"/>
      <c r="MID21" s="195"/>
      <c r="MIE21" s="197"/>
      <c r="MIF21" s="198"/>
      <c r="MIG21" s="199"/>
      <c r="MIH21" s="194"/>
      <c r="MII21" s="194"/>
      <c r="MIJ21" s="194"/>
      <c r="MIK21" s="195"/>
      <c r="MIL21" s="195"/>
      <c r="MIM21" s="196"/>
      <c r="MIN21" s="195"/>
      <c r="MIO21" s="197"/>
      <c r="MIP21" s="198"/>
      <c r="MIQ21" s="199"/>
      <c r="MIR21" s="194"/>
      <c r="MIS21" s="194"/>
      <c r="MIT21" s="194"/>
      <c r="MIU21" s="195"/>
      <c r="MIV21" s="195"/>
      <c r="MIW21" s="196"/>
      <c r="MIX21" s="195"/>
      <c r="MIY21" s="197"/>
      <c r="MIZ21" s="198"/>
      <c r="MJA21" s="199"/>
      <c r="MJB21" s="194"/>
      <c r="MJC21" s="194"/>
      <c r="MJD21" s="194"/>
      <c r="MJE21" s="195"/>
      <c r="MJF21" s="195"/>
      <c r="MJG21" s="196"/>
      <c r="MJH21" s="195"/>
      <c r="MJI21" s="197"/>
      <c r="MJJ21" s="198"/>
      <c r="MJK21" s="199"/>
      <c r="MJL21" s="194"/>
      <c r="MJM21" s="194"/>
      <c r="MJN21" s="194"/>
      <c r="MJO21" s="195"/>
      <c r="MJP21" s="195"/>
      <c r="MJQ21" s="196"/>
      <c r="MJR21" s="195"/>
      <c r="MJS21" s="197"/>
      <c r="MJT21" s="198"/>
      <c r="MJU21" s="199"/>
      <c r="MJV21" s="194"/>
      <c r="MJW21" s="194"/>
      <c r="MJX21" s="194"/>
      <c r="MJY21" s="195"/>
      <c r="MJZ21" s="195"/>
      <c r="MKA21" s="196"/>
      <c r="MKB21" s="195"/>
      <c r="MKC21" s="197"/>
      <c r="MKD21" s="198"/>
      <c r="MKE21" s="199"/>
      <c r="MKF21" s="194"/>
      <c r="MKG21" s="194"/>
      <c r="MKH21" s="194"/>
      <c r="MKI21" s="195"/>
      <c r="MKJ21" s="195"/>
      <c r="MKK21" s="196"/>
      <c r="MKL21" s="195"/>
      <c r="MKM21" s="197"/>
      <c r="MKN21" s="198"/>
      <c r="MKO21" s="199"/>
      <c r="MKP21" s="194"/>
      <c r="MKQ21" s="194"/>
      <c r="MKR21" s="194"/>
      <c r="MKS21" s="195"/>
      <c r="MKT21" s="195"/>
      <c r="MKU21" s="196"/>
      <c r="MKV21" s="195"/>
      <c r="MKW21" s="197"/>
      <c r="MKX21" s="198"/>
      <c r="MKY21" s="199"/>
      <c r="MKZ21" s="194"/>
      <c r="MLA21" s="194"/>
      <c r="MLB21" s="194"/>
      <c r="MLC21" s="195"/>
      <c r="MLD21" s="195"/>
      <c r="MLE21" s="196"/>
      <c r="MLF21" s="195"/>
      <c r="MLG21" s="197"/>
      <c r="MLH21" s="198"/>
      <c r="MLI21" s="199"/>
      <c r="MLJ21" s="194"/>
      <c r="MLK21" s="194"/>
      <c r="MLL21" s="194"/>
      <c r="MLM21" s="195"/>
      <c r="MLN21" s="195"/>
      <c r="MLO21" s="196"/>
      <c r="MLP21" s="195"/>
      <c r="MLQ21" s="197"/>
      <c r="MLR21" s="198"/>
      <c r="MLS21" s="199"/>
      <c r="MLT21" s="194"/>
      <c r="MLU21" s="194"/>
      <c r="MLV21" s="194"/>
      <c r="MLW21" s="195"/>
      <c r="MLX21" s="195"/>
      <c r="MLY21" s="196"/>
      <c r="MLZ21" s="195"/>
      <c r="MMA21" s="197"/>
      <c r="MMB21" s="198"/>
      <c r="MMC21" s="199"/>
      <c r="MMD21" s="194"/>
      <c r="MME21" s="194"/>
      <c r="MMF21" s="194"/>
      <c r="MMG21" s="195"/>
      <c r="MMH21" s="195"/>
      <c r="MMI21" s="196"/>
      <c r="MMJ21" s="195"/>
      <c r="MMK21" s="197"/>
      <c r="MML21" s="198"/>
      <c r="MMM21" s="199"/>
      <c r="MMN21" s="194"/>
      <c r="MMO21" s="194"/>
      <c r="MMP21" s="194"/>
      <c r="MMQ21" s="195"/>
      <c r="MMR21" s="195"/>
      <c r="MMS21" s="196"/>
      <c r="MMT21" s="195"/>
      <c r="MMU21" s="197"/>
      <c r="MMV21" s="198"/>
      <c r="MMW21" s="199"/>
      <c r="MMX21" s="194"/>
      <c r="MMY21" s="194"/>
      <c r="MMZ21" s="194"/>
      <c r="MNA21" s="195"/>
      <c r="MNB21" s="195"/>
      <c r="MNC21" s="196"/>
      <c r="MND21" s="195"/>
      <c r="MNE21" s="197"/>
      <c r="MNF21" s="198"/>
      <c r="MNG21" s="199"/>
      <c r="MNH21" s="194"/>
      <c r="MNI21" s="194"/>
      <c r="MNJ21" s="194"/>
      <c r="MNK21" s="195"/>
      <c r="MNL21" s="195"/>
      <c r="MNM21" s="196"/>
      <c r="MNN21" s="195"/>
      <c r="MNO21" s="197"/>
      <c r="MNP21" s="198"/>
      <c r="MNQ21" s="199"/>
      <c r="MNR21" s="194"/>
      <c r="MNS21" s="194"/>
      <c r="MNT21" s="194"/>
      <c r="MNU21" s="195"/>
      <c r="MNV21" s="195"/>
      <c r="MNW21" s="196"/>
      <c r="MNX21" s="195"/>
      <c r="MNY21" s="197"/>
      <c r="MNZ21" s="198"/>
      <c r="MOA21" s="199"/>
      <c r="MOB21" s="194"/>
      <c r="MOC21" s="194"/>
      <c r="MOD21" s="194"/>
      <c r="MOE21" s="195"/>
      <c r="MOF21" s="195"/>
      <c r="MOG21" s="196"/>
      <c r="MOH21" s="195"/>
      <c r="MOI21" s="197"/>
      <c r="MOJ21" s="198"/>
      <c r="MOK21" s="199"/>
      <c r="MOL21" s="194"/>
      <c r="MOM21" s="194"/>
      <c r="MON21" s="194"/>
      <c r="MOO21" s="195"/>
      <c r="MOP21" s="195"/>
      <c r="MOQ21" s="196"/>
      <c r="MOR21" s="195"/>
      <c r="MOS21" s="197"/>
      <c r="MOT21" s="198"/>
      <c r="MOU21" s="199"/>
      <c r="MOV21" s="194"/>
      <c r="MOW21" s="194"/>
      <c r="MOX21" s="194"/>
      <c r="MOY21" s="195"/>
      <c r="MOZ21" s="195"/>
      <c r="MPA21" s="196"/>
      <c r="MPB21" s="195"/>
      <c r="MPC21" s="197"/>
      <c r="MPD21" s="198"/>
      <c r="MPE21" s="199"/>
      <c r="MPF21" s="194"/>
      <c r="MPG21" s="194"/>
      <c r="MPH21" s="194"/>
      <c r="MPI21" s="195"/>
      <c r="MPJ21" s="195"/>
      <c r="MPK21" s="196"/>
      <c r="MPL21" s="195"/>
      <c r="MPM21" s="197"/>
      <c r="MPN21" s="198"/>
      <c r="MPO21" s="199"/>
      <c r="MPP21" s="194"/>
      <c r="MPQ21" s="194"/>
      <c r="MPR21" s="194"/>
      <c r="MPS21" s="195"/>
      <c r="MPT21" s="195"/>
      <c r="MPU21" s="196"/>
      <c r="MPV21" s="195"/>
      <c r="MPW21" s="197"/>
      <c r="MPX21" s="198"/>
      <c r="MPY21" s="199"/>
      <c r="MPZ21" s="194"/>
      <c r="MQA21" s="194"/>
      <c r="MQB21" s="194"/>
      <c r="MQC21" s="195"/>
      <c r="MQD21" s="195"/>
      <c r="MQE21" s="196"/>
      <c r="MQF21" s="195"/>
      <c r="MQG21" s="197"/>
      <c r="MQH21" s="198"/>
      <c r="MQI21" s="199"/>
      <c r="MQJ21" s="194"/>
      <c r="MQK21" s="194"/>
      <c r="MQL21" s="194"/>
      <c r="MQM21" s="195"/>
      <c r="MQN21" s="195"/>
      <c r="MQO21" s="196"/>
      <c r="MQP21" s="195"/>
      <c r="MQQ21" s="197"/>
      <c r="MQR21" s="198"/>
      <c r="MQS21" s="199"/>
      <c r="MQT21" s="194"/>
      <c r="MQU21" s="194"/>
      <c r="MQV21" s="194"/>
      <c r="MQW21" s="195"/>
      <c r="MQX21" s="195"/>
      <c r="MQY21" s="196"/>
      <c r="MQZ21" s="195"/>
      <c r="MRA21" s="197"/>
      <c r="MRB21" s="198"/>
      <c r="MRC21" s="199"/>
      <c r="MRD21" s="194"/>
      <c r="MRE21" s="194"/>
      <c r="MRF21" s="194"/>
      <c r="MRG21" s="195"/>
      <c r="MRH21" s="195"/>
      <c r="MRI21" s="196"/>
      <c r="MRJ21" s="195"/>
      <c r="MRK21" s="197"/>
      <c r="MRL21" s="198"/>
      <c r="MRM21" s="199"/>
      <c r="MRN21" s="194"/>
      <c r="MRO21" s="194"/>
      <c r="MRP21" s="194"/>
      <c r="MRQ21" s="195"/>
      <c r="MRR21" s="195"/>
      <c r="MRS21" s="196"/>
      <c r="MRT21" s="195"/>
      <c r="MRU21" s="197"/>
      <c r="MRV21" s="198"/>
      <c r="MRW21" s="199"/>
      <c r="MRX21" s="194"/>
      <c r="MRY21" s="194"/>
      <c r="MRZ21" s="194"/>
      <c r="MSA21" s="195"/>
      <c r="MSB21" s="195"/>
      <c r="MSC21" s="196"/>
      <c r="MSD21" s="195"/>
      <c r="MSE21" s="197"/>
      <c r="MSF21" s="198"/>
      <c r="MSG21" s="199"/>
      <c r="MSH21" s="194"/>
      <c r="MSI21" s="194"/>
      <c r="MSJ21" s="194"/>
      <c r="MSK21" s="195"/>
      <c r="MSL21" s="195"/>
      <c r="MSM21" s="196"/>
      <c r="MSN21" s="195"/>
      <c r="MSO21" s="197"/>
      <c r="MSP21" s="198"/>
      <c r="MSQ21" s="199"/>
      <c r="MSR21" s="194"/>
      <c r="MSS21" s="194"/>
      <c r="MST21" s="194"/>
      <c r="MSU21" s="195"/>
      <c r="MSV21" s="195"/>
      <c r="MSW21" s="196"/>
      <c r="MSX21" s="195"/>
      <c r="MSY21" s="197"/>
      <c r="MSZ21" s="198"/>
      <c r="MTA21" s="199"/>
      <c r="MTB21" s="194"/>
      <c r="MTC21" s="194"/>
      <c r="MTD21" s="194"/>
      <c r="MTE21" s="195"/>
      <c r="MTF21" s="195"/>
      <c r="MTG21" s="196"/>
      <c r="MTH21" s="195"/>
      <c r="MTI21" s="197"/>
      <c r="MTJ21" s="198"/>
      <c r="MTK21" s="199"/>
      <c r="MTL21" s="194"/>
      <c r="MTM21" s="194"/>
      <c r="MTN21" s="194"/>
      <c r="MTO21" s="195"/>
      <c r="MTP21" s="195"/>
      <c r="MTQ21" s="196"/>
      <c r="MTR21" s="195"/>
      <c r="MTS21" s="197"/>
      <c r="MTT21" s="198"/>
      <c r="MTU21" s="199"/>
      <c r="MTV21" s="194"/>
      <c r="MTW21" s="194"/>
      <c r="MTX21" s="194"/>
      <c r="MTY21" s="195"/>
      <c r="MTZ21" s="195"/>
      <c r="MUA21" s="196"/>
      <c r="MUB21" s="195"/>
      <c r="MUC21" s="197"/>
      <c r="MUD21" s="198"/>
      <c r="MUE21" s="199"/>
      <c r="MUF21" s="194"/>
      <c r="MUG21" s="194"/>
      <c r="MUH21" s="194"/>
      <c r="MUI21" s="195"/>
      <c r="MUJ21" s="195"/>
      <c r="MUK21" s="196"/>
      <c r="MUL21" s="195"/>
      <c r="MUM21" s="197"/>
      <c r="MUN21" s="198"/>
      <c r="MUO21" s="199"/>
      <c r="MUP21" s="194"/>
      <c r="MUQ21" s="194"/>
      <c r="MUR21" s="194"/>
      <c r="MUS21" s="195"/>
      <c r="MUT21" s="195"/>
      <c r="MUU21" s="196"/>
      <c r="MUV21" s="195"/>
      <c r="MUW21" s="197"/>
      <c r="MUX21" s="198"/>
      <c r="MUY21" s="199"/>
      <c r="MUZ21" s="194"/>
      <c r="MVA21" s="194"/>
      <c r="MVB21" s="194"/>
      <c r="MVC21" s="195"/>
      <c r="MVD21" s="195"/>
      <c r="MVE21" s="196"/>
      <c r="MVF21" s="195"/>
      <c r="MVG21" s="197"/>
      <c r="MVH21" s="198"/>
      <c r="MVI21" s="199"/>
      <c r="MVJ21" s="194"/>
      <c r="MVK21" s="194"/>
      <c r="MVL21" s="194"/>
      <c r="MVM21" s="195"/>
      <c r="MVN21" s="195"/>
      <c r="MVO21" s="196"/>
      <c r="MVP21" s="195"/>
      <c r="MVQ21" s="197"/>
      <c r="MVR21" s="198"/>
      <c r="MVS21" s="199"/>
      <c r="MVT21" s="194"/>
      <c r="MVU21" s="194"/>
      <c r="MVV21" s="194"/>
      <c r="MVW21" s="195"/>
      <c r="MVX21" s="195"/>
      <c r="MVY21" s="196"/>
      <c r="MVZ21" s="195"/>
      <c r="MWA21" s="197"/>
      <c r="MWB21" s="198"/>
      <c r="MWC21" s="199"/>
      <c r="MWD21" s="194"/>
      <c r="MWE21" s="194"/>
      <c r="MWF21" s="194"/>
      <c r="MWG21" s="195"/>
      <c r="MWH21" s="195"/>
      <c r="MWI21" s="196"/>
      <c r="MWJ21" s="195"/>
      <c r="MWK21" s="197"/>
      <c r="MWL21" s="198"/>
      <c r="MWM21" s="199"/>
      <c r="MWN21" s="194"/>
      <c r="MWO21" s="194"/>
      <c r="MWP21" s="194"/>
      <c r="MWQ21" s="195"/>
      <c r="MWR21" s="195"/>
      <c r="MWS21" s="196"/>
      <c r="MWT21" s="195"/>
      <c r="MWU21" s="197"/>
      <c r="MWV21" s="198"/>
      <c r="MWW21" s="199"/>
      <c r="MWX21" s="194"/>
      <c r="MWY21" s="194"/>
      <c r="MWZ21" s="194"/>
      <c r="MXA21" s="195"/>
      <c r="MXB21" s="195"/>
      <c r="MXC21" s="196"/>
      <c r="MXD21" s="195"/>
      <c r="MXE21" s="197"/>
      <c r="MXF21" s="198"/>
      <c r="MXG21" s="199"/>
      <c r="MXH21" s="194"/>
      <c r="MXI21" s="194"/>
      <c r="MXJ21" s="194"/>
      <c r="MXK21" s="195"/>
      <c r="MXL21" s="195"/>
      <c r="MXM21" s="196"/>
      <c r="MXN21" s="195"/>
      <c r="MXO21" s="197"/>
      <c r="MXP21" s="198"/>
      <c r="MXQ21" s="199"/>
      <c r="MXR21" s="194"/>
      <c r="MXS21" s="194"/>
      <c r="MXT21" s="194"/>
      <c r="MXU21" s="195"/>
      <c r="MXV21" s="195"/>
      <c r="MXW21" s="196"/>
      <c r="MXX21" s="195"/>
      <c r="MXY21" s="197"/>
      <c r="MXZ21" s="198"/>
      <c r="MYA21" s="199"/>
      <c r="MYB21" s="194"/>
      <c r="MYC21" s="194"/>
      <c r="MYD21" s="194"/>
      <c r="MYE21" s="195"/>
      <c r="MYF21" s="195"/>
      <c r="MYG21" s="196"/>
      <c r="MYH21" s="195"/>
      <c r="MYI21" s="197"/>
      <c r="MYJ21" s="198"/>
      <c r="MYK21" s="199"/>
      <c r="MYL21" s="194"/>
      <c r="MYM21" s="194"/>
      <c r="MYN21" s="194"/>
      <c r="MYO21" s="195"/>
      <c r="MYP21" s="195"/>
      <c r="MYQ21" s="196"/>
      <c r="MYR21" s="195"/>
      <c r="MYS21" s="197"/>
      <c r="MYT21" s="198"/>
      <c r="MYU21" s="199"/>
      <c r="MYV21" s="194"/>
      <c r="MYW21" s="194"/>
      <c r="MYX21" s="194"/>
      <c r="MYY21" s="195"/>
      <c r="MYZ21" s="195"/>
      <c r="MZA21" s="196"/>
      <c r="MZB21" s="195"/>
      <c r="MZC21" s="197"/>
      <c r="MZD21" s="198"/>
      <c r="MZE21" s="199"/>
      <c r="MZF21" s="194"/>
      <c r="MZG21" s="194"/>
      <c r="MZH21" s="194"/>
      <c r="MZI21" s="195"/>
      <c r="MZJ21" s="195"/>
      <c r="MZK21" s="196"/>
      <c r="MZL21" s="195"/>
      <c r="MZM21" s="197"/>
      <c r="MZN21" s="198"/>
      <c r="MZO21" s="199"/>
      <c r="MZP21" s="194"/>
      <c r="MZQ21" s="194"/>
      <c r="MZR21" s="194"/>
      <c r="MZS21" s="195"/>
      <c r="MZT21" s="195"/>
      <c r="MZU21" s="196"/>
      <c r="MZV21" s="195"/>
      <c r="MZW21" s="197"/>
      <c r="MZX21" s="198"/>
      <c r="MZY21" s="199"/>
      <c r="MZZ21" s="194"/>
      <c r="NAA21" s="194"/>
      <c r="NAB21" s="194"/>
      <c r="NAC21" s="195"/>
      <c r="NAD21" s="195"/>
      <c r="NAE21" s="196"/>
      <c r="NAF21" s="195"/>
      <c r="NAG21" s="197"/>
      <c r="NAH21" s="198"/>
      <c r="NAI21" s="199"/>
      <c r="NAJ21" s="194"/>
      <c r="NAK21" s="194"/>
      <c r="NAL21" s="194"/>
      <c r="NAM21" s="195"/>
      <c r="NAN21" s="195"/>
      <c r="NAO21" s="196"/>
      <c r="NAP21" s="195"/>
      <c r="NAQ21" s="197"/>
      <c r="NAR21" s="198"/>
      <c r="NAS21" s="199"/>
      <c r="NAT21" s="194"/>
      <c r="NAU21" s="194"/>
      <c r="NAV21" s="194"/>
      <c r="NAW21" s="195"/>
      <c r="NAX21" s="195"/>
      <c r="NAY21" s="196"/>
      <c r="NAZ21" s="195"/>
      <c r="NBA21" s="197"/>
      <c r="NBB21" s="198"/>
      <c r="NBC21" s="199"/>
      <c r="NBD21" s="194"/>
      <c r="NBE21" s="194"/>
      <c r="NBF21" s="194"/>
      <c r="NBG21" s="195"/>
      <c r="NBH21" s="195"/>
      <c r="NBI21" s="196"/>
      <c r="NBJ21" s="195"/>
      <c r="NBK21" s="197"/>
      <c r="NBL21" s="198"/>
      <c r="NBM21" s="199"/>
      <c r="NBN21" s="194"/>
      <c r="NBO21" s="194"/>
      <c r="NBP21" s="194"/>
      <c r="NBQ21" s="195"/>
      <c r="NBR21" s="195"/>
      <c r="NBS21" s="196"/>
      <c r="NBT21" s="195"/>
      <c r="NBU21" s="197"/>
      <c r="NBV21" s="198"/>
      <c r="NBW21" s="199"/>
      <c r="NBX21" s="194"/>
      <c r="NBY21" s="194"/>
      <c r="NBZ21" s="194"/>
      <c r="NCA21" s="195"/>
      <c r="NCB21" s="195"/>
      <c r="NCC21" s="196"/>
      <c r="NCD21" s="195"/>
      <c r="NCE21" s="197"/>
      <c r="NCF21" s="198"/>
      <c r="NCG21" s="199"/>
      <c r="NCH21" s="194"/>
      <c r="NCI21" s="194"/>
      <c r="NCJ21" s="194"/>
      <c r="NCK21" s="195"/>
      <c r="NCL21" s="195"/>
      <c r="NCM21" s="196"/>
      <c r="NCN21" s="195"/>
      <c r="NCO21" s="197"/>
      <c r="NCP21" s="198"/>
      <c r="NCQ21" s="199"/>
      <c r="NCR21" s="194"/>
      <c r="NCS21" s="194"/>
      <c r="NCT21" s="194"/>
      <c r="NCU21" s="195"/>
      <c r="NCV21" s="195"/>
      <c r="NCW21" s="196"/>
      <c r="NCX21" s="195"/>
      <c r="NCY21" s="197"/>
      <c r="NCZ21" s="198"/>
      <c r="NDA21" s="199"/>
      <c r="NDB21" s="194"/>
      <c r="NDC21" s="194"/>
      <c r="NDD21" s="194"/>
      <c r="NDE21" s="195"/>
      <c r="NDF21" s="195"/>
      <c r="NDG21" s="196"/>
      <c r="NDH21" s="195"/>
      <c r="NDI21" s="197"/>
      <c r="NDJ21" s="198"/>
      <c r="NDK21" s="199"/>
      <c r="NDL21" s="194"/>
      <c r="NDM21" s="194"/>
      <c r="NDN21" s="194"/>
      <c r="NDO21" s="195"/>
      <c r="NDP21" s="195"/>
      <c r="NDQ21" s="196"/>
      <c r="NDR21" s="195"/>
      <c r="NDS21" s="197"/>
      <c r="NDT21" s="198"/>
      <c r="NDU21" s="199"/>
      <c r="NDV21" s="194"/>
      <c r="NDW21" s="194"/>
      <c r="NDX21" s="194"/>
      <c r="NDY21" s="195"/>
      <c r="NDZ21" s="195"/>
      <c r="NEA21" s="196"/>
      <c r="NEB21" s="195"/>
      <c r="NEC21" s="197"/>
      <c r="NED21" s="198"/>
      <c r="NEE21" s="199"/>
      <c r="NEF21" s="194"/>
      <c r="NEG21" s="194"/>
      <c r="NEH21" s="194"/>
      <c r="NEI21" s="195"/>
      <c r="NEJ21" s="195"/>
      <c r="NEK21" s="196"/>
      <c r="NEL21" s="195"/>
      <c r="NEM21" s="197"/>
      <c r="NEN21" s="198"/>
      <c r="NEO21" s="199"/>
      <c r="NEP21" s="194"/>
      <c r="NEQ21" s="194"/>
      <c r="NER21" s="194"/>
      <c r="NES21" s="195"/>
      <c r="NET21" s="195"/>
      <c r="NEU21" s="196"/>
      <c r="NEV21" s="195"/>
      <c r="NEW21" s="197"/>
      <c r="NEX21" s="198"/>
      <c r="NEY21" s="199"/>
      <c r="NEZ21" s="194"/>
      <c r="NFA21" s="194"/>
      <c r="NFB21" s="194"/>
      <c r="NFC21" s="195"/>
      <c r="NFD21" s="195"/>
      <c r="NFE21" s="196"/>
      <c r="NFF21" s="195"/>
      <c r="NFG21" s="197"/>
      <c r="NFH21" s="198"/>
      <c r="NFI21" s="199"/>
      <c r="NFJ21" s="194"/>
      <c r="NFK21" s="194"/>
      <c r="NFL21" s="194"/>
      <c r="NFM21" s="195"/>
      <c r="NFN21" s="195"/>
      <c r="NFO21" s="196"/>
      <c r="NFP21" s="195"/>
      <c r="NFQ21" s="197"/>
      <c r="NFR21" s="198"/>
      <c r="NFS21" s="199"/>
      <c r="NFT21" s="194"/>
      <c r="NFU21" s="194"/>
      <c r="NFV21" s="194"/>
      <c r="NFW21" s="195"/>
      <c r="NFX21" s="195"/>
      <c r="NFY21" s="196"/>
      <c r="NFZ21" s="195"/>
      <c r="NGA21" s="197"/>
      <c r="NGB21" s="198"/>
      <c r="NGC21" s="199"/>
      <c r="NGD21" s="194"/>
      <c r="NGE21" s="194"/>
      <c r="NGF21" s="194"/>
      <c r="NGG21" s="195"/>
      <c r="NGH21" s="195"/>
      <c r="NGI21" s="196"/>
      <c r="NGJ21" s="195"/>
      <c r="NGK21" s="197"/>
      <c r="NGL21" s="198"/>
      <c r="NGM21" s="199"/>
      <c r="NGN21" s="194"/>
      <c r="NGO21" s="194"/>
      <c r="NGP21" s="194"/>
      <c r="NGQ21" s="195"/>
      <c r="NGR21" s="195"/>
      <c r="NGS21" s="196"/>
      <c r="NGT21" s="195"/>
      <c r="NGU21" s="197"/>
      <c r="NGV21" s="198"/>
      <c r="NGW21" s="199"/>
      <c r="NGX21" s="194"/>
      <c r="NGY21" s="194"/>
      <c r="NGZ21" s="194"/>
      <c r="NHA21" s="195"/>
      <c r="NHB21" s="195"/>
      <c r="NHC21" s="196"/>
      <c r="NHD21" s="195"/>
      <c r="NHE21" s="197"/>
      <c r="NHF21" s="198"/>
      <c r="NHG21" s="199"/>
      <c r="NHH21" s="194"/>
      <c r="NHI21" s="194"/>
      <c r="NHJ21" s="194"/>
      <c r="NHK21" s="195"/>
      <c r="NHL21" s="195"/>
      <c r="NHM21" s="196"/>
      <c r="NHN21" s="195"/>
      <c r="NHO21" s="197"/>
      <c r="NHP21" s="198"/>
      <c r="NHQ21" s="199"/>
      <c r="NHR21" s="194"/>
      <c r="NHS21" s="194"/>
      <c r="NHT21" s="194"/>
      <c r="NHU21" s="195"/>
      <c r="NHV21" s="195"/>
      <c r="NHW21" s="196"/>
      <c r="NHX21" s="195"/>
      <c r="NHY21" s="197"/>
      <c r="NHZ21" s="198"/>
      <c r="NIA21" s="199"/>
      <c r="NIB21" s="194"/>
      <c r="NIC21" s="194"/>
      <c r="NID21" s="194"/>
      <c r="NIE21" s="195"/>
      <c r="NIF21" s="195"/>
      <c r="NIG21" s="196"/>
      <c r="NIH21" s="195"/>
      <c r="NII21" s="197"/>
      <c r="NIJ21" s="198"/>
      <c r="NIK21" s="199"/>
      <c r="NIL21" s="194"/>
      <c r="NIM21" s="194"/>
      <c r="NIN21" s="194"/>
      <c r="NIO21" s="195"/>
      <c r="NIP21" s="195"/>
      <c r="NIQ21" s="196"/>
      <c r="NIR21" s="195"/>
      <c r="NIS21" s="197"/>
      <c r="NIT21" s="198"/>
      <c r="NIU21" s="199"/>
      <c r="NIV21" s="194"/>
      <c r="NIW21" s="194"/>
      <c r="NIX21" s="194"/>
      <c r="NIY21" s="195"/>
      <c r="NIZ21" s="195"/>
      <c r="NJA21" s="196"/>
      <c r="NJB21" s="195"/>
      <c r="NJC21" s="197"/>
      <c r="NJD21" s="198"/>
      <c r="NJE21" s="199"/>
      <c r="NJF21" s="194"/>
      <c r="NJG21" s="194"/>
      <c r="NJH21" s="194"/>
      <c r="NJI21" s="195"/>
      <c r="NJJ21" s="195"/>
      <c r="NJK21" s="196"/>
      <c r="NJL21" s="195"/>
      <c r="NJM21" s="197"/>
      <c r="NJN21" s="198"/>
      <c r="NJO21" s="199"/>
      <c r="NJP21" s="194"/>
      <c r="NJQ21" s="194"/>
      <c r="NJR21" s="194"/>
      <c r="NJS21" s="195"/>
      <c r="NJT21" s="195"/>
      <c r="NJU21" s="196"/>
      <c r="NJV21" s="195"/>
      <c r="NJW21" s="197"/>
      <c r="NJX21" s="198"/>
      <c r="NJY21" s="199"/>
      <c r="NJZ21" s="194"/>
      <c r="NKA21" s="194"/>
      <c r="NKB21" s="194"/>
      <c r="NKC21" s="195"/>
      <c r="NKD21" s="195"/>
      <c r="NKE21" s="196"/>
      <c r="NKF21" s="195"/>
      <c r="NKG21" s="197"/>
      <c r="NKH21" s="198"/>
      <c r="NKI21" s="199"/>
      <c r="NKJ21" s="194"/>
      <c r="NKK21" s="194"/>
      <c r="NKL21" s="194"/>
      <c r="NKM21" s="195"/>
      <c r="NKN21" s="195"/>
      <c r="NKO21" s="196"/>
      <c r="NKP21" s="195"/>
      <c r="NKQ21" s="197"/>
      <c r="NKR21" s="198"/>
      <c r="NKS21" s="199"/>
      <c r="NKT21" s="194"/>
      <c r="NKU21" s="194"/>
      <c r="NKV21" s="194"/>
      <c r="NKW21" s="195"/>
      <c r="NKX21" s="195"/>
      <c r="NKY21" s="196"/>
      <c r="NKZ21" s="195"/>
      <c r="NLA21" s="197"/>
      <c r="NLB21" s="198"/>
      <c r="NLC21" s="199"/>
      <c r="NLD21" s="194"/>
      <c r="NLE21" s="194"/>
      <c r="NLF21" s="194"/>
      <c r="NLG21" s="195"/>
      <c r="NLH21" s="195"/>
      <c r="NLI21" s="196"/>
      <c r="NLJ21" s="195"/>
      <c r="NLK21" s="197"/>
      <c r="NLL21" s="198"/>
      <c r="NLM21" s="199"/>
      <c r="NLN21" s="194"/>
      <c r="NLO21" s="194"/>
      <c r="NLP21" s="194"/>
      <c r="NLQ21" s="195"/>
      <c r="NLR21" s="195"/>
      <c r="NLS21" s="196"/>
      <c r="NLT21" s="195"/>
      <c r="NLU21" s="197"/>
      <c r="NLV21" s="198"/>
      <c r="NLW21" s="199"/>
      <c r="NLX21" s="194"/>
      <c r="NLY21" s="194"/>
      <c r="NLZ21" s="194"/>
      <c r="NMA21" s="195"/>
      <c r="NMB21" s="195"/>
      <c r="NMC21" s="196"/>
      <c r="NMD21" s="195"/>
      <c r="NME21" s="197"/>
      <c r="NMF21" s="198"/>
      <c r="NMG21" s="199"/>
      <c r="NMH21" s="194"/>
      <c r="NMI21" s="194"/>
      <c r="NMJ21" s="194"/>
      <c r="NMK21" s="195"/>
      <c r="NML21" s="195"/>
      <c r="NMM21" s="196"/>
      <c r="NMN21" s="195"/>
      <c r="NMO21" s="197"/>
      <c r="NMP21" s="198"/>
      <c r="NMQ21" s="199"/>
      <c r="NMR21" s="194"/>
      <c r="NMS21" s="194"/>
      <c r="NMT21" s="194"/>
      <c r="NMU21" s="195"/>
      <c r="NMV21" s="195"/>
      <c r="NMW21" s="196"/>
      <c r="NMX21" s="195"/>
      <c r="NMY21" s="197"/>
      <c r="NMZ21" s="198"/>
      <c r="NNA21" s="199"/>
      <c r="NNB21" s="194"/>
      <c r="NNC21" s="194"/>
      <c r="NND21" s="194"/>
      <c r="NNE21" s="195"/>
      <c r="NNF21" s="195"/>
      <c r="NNG21" s="196"/>
      <c r="NNH21" s="195"/>
      <c r="NNI21" s="197"/>
      <c r="NNJ21" s="198"/>
      <c r="NNK21" s="199"/>
      <c r="NNL21" s="194"/>
      <c r="NNM21" s="194"/>
      <c r="NNN21" s="194"/>
      <c r="NNO21" s="195"/>
      <c r="NNP21" s="195"/>
      <c r="NNQ21" s="196"/>
      <c r="NNR21" s="195"/>
      <c r="NNS21" s="197"/>
      <c r="NNT21" s="198"/>
      <c r="NNU21" s="199"/>
      <c r="NNV21" s="194"/>
      <c r="NNW21" s="194"/>
      <c r="NNX21" s="194"/>
      <c r="NNY21" s="195"/>
      <c r="NNZ21" s="195"/>
      <c r="NOA21" s="196"/>
      <c r="NOB21" s="195"/>
      <c r="NOC21" s="197"/>
      <c r="NOD21" s="198"/>
      <c r="NOE21" s="199"/>
      <c r="NOF21" s="194"/>
      <c r="NOG21" s="194"/>
      <c r="NOH21" s="194"/>
      <c r="NOI21" s="195"/>
      <c r="NOJ21" s="195"/>
      <c r="NOK21" s="196"/>
      <c r="NOL21" s="195"/>
      <c r="NOM21" s="197"/>
      <c r="NON21" s="198"/>
      <c r="NOO21" s="199"/>
      <c r="NOP21" s="194"/>
      <c r="NOQ21" s="194"/>
      <c r="NOR21" s="194"/>
      <c r="NOS21" s="195"/>
      <c r="NOT21" s="195"/>
      <c r="NOU21" s="196"/>
      <c r="NOV21" s="195"/>
      <c r="NOW21" s="197"/>
      <c r="NOX21" s="198"/>
      <c r="NOY21" s="199"/>
      <c r="NOZ21" s="194"/>
      <c r="NPA21" s="194"/>
      <c r="NPB21" s="194"/>
      <c r="NPC21" s="195"/>
      <c r="NPD21" s="195"/>
      <c r="NPE21" s="196"/>
      <c r="NPF21" s="195"/>
      <c r="NPG21" s="197"/>
      <c r="NPH21" s="198"/>
      <c r="NPI21" s="199"/>
      <c r="NPJ21" s="194"/>
      <c r="NPK21" s="194"/>
      <c r="NPL21" s="194"/>
      <c r="NPM21" s="195"/>
      <c r="NPN21" s="195"/>
      <c r="NPO21" s="196"/>
      <c r="NPP21" s="195"/>
      <c r="NPQ21" s="197"/>
      <c r="NPR21" s="198"/>
      <c r="NPS21" s="199"/>
      <c r="NPT21" s="194"/>
      <c r="NPU21" s="194"/>
      <c r="NPV21" s="194"/>
      <c r="NPW21" s="195"/>
      <c r="NPX21" s="195"/>
      <c r="NPY21" s="196"/>
      <c r="NPZ21" s="195"/>
      <c r="NQA21" s="197"/>
      <c r="NQB21" s="198"/>
      <c r="NQC21" s="199"/>
      <c r="NQD21" s="194"/>
      <c r="NQE21" s="194"/>
      <c r="NQF21" s="194"/>
      <c r="NQG21" s="195"/>
      <c r="NQH21" s="195"/>
      <c r="NQI21" s="196"/>
      <c r="NQJ21" s="195"/>
      <c r="NQK21" s="197"/>
      <c r="NQL21" s="198"/>
      <c r="NQM21" s="199"/>
      <c r="NQN21" s="194"/>
      <c r="NQO21" s="194"/>
      <c r="NQP21" s="194"/>
      <c r="NQQ21" s="195"/>
      <c r="NQR21" s="195"/>
      <c r="NQS21" s="196"/>
      <c r="NQT21" s="195"/>
      <c r="NQU21" s="197"/>
      <c r="NQV21" s="198"/>
      <c r="NQW21" s="199"/>
      <c r="NQX21" s="194"/>
      <c r="NQY21" s="194"/>
      <c r="NQZ21" s="194"/>
      <c r="NRA21" s="195"/>
      <c r="NRB21" s="195"/>
      <c r="NRC21" s="196"/>
      <c r="NRD21" s="195"/>
      <c r="NRE21" s="197"/>
      <c r="NRF21" s="198"/>
      <c r="NRG21" s="199"/>
      <c r="NRH21" s="194"/>
      <c r="NRI21" s="194"/>
      <c r="NRJ21" s="194"/>
      <c r="NRK21" s="195"/>
      <c r="NRL21" s="195"/>
      <c r="NRM21" s="196"/>
      <c r="NRN21" s="195"/>
      <c r="NRO21" s="197"/>
      <c r="NRP21" s="198"/>
      <c r="NRQ21" s="199"/>
      <c r="NRR21" s="194"/>
      <c r="NRS21" s="194"/>
      <c r="NRT21" s="194"/>
      <c r="NRU21" s="195"/>
      <c r="NRV21" s="195"/>
      <c r="NRW21" s="196"/>
      <c r="NRX21" s="195"/>
      <c r="NRY21" s="197"/>
      <c r="NRZ21" s="198"/>
      <c r="NSA21" s="199"/>
      <c r="NSB21" s="194"/>
      <c r="NSC21" s="194"/>
      <c r="NSD21" s="194"/>
      <c r="NSE21" s="195"/>
      <c r="NSF21" s="195"/>
      <c r="NSG21" s="196"/>
      <c r="NSH21" s="195"/>
      <c r="NSI21" s="197"/>
      <c r="NSJ21" s="198"/>
      <c r="NSK21" s="199"/>
      <c r="NSL21" s="194"/>
      <c r="NSM21" s="194"/>
      <c r="NSN21" s="194"/>
      <c r="NSO21" s="195"/>
      <c r="NSP21" s="195"/>
      <c r="NSQ21" s="196"/>
      <c r="NSR21" s="195"/>
      <c r="NSS21" s="197"/>
      <c r="NST21" s="198"/>
      <c r="NSU21" s="199"/>
      <c r="NSV21" s="194"/>
      <c r="NSW21" s="194"/>
      <c r="NSX21" s="194"/>
      <c r="NSY21" s="195"/>
      <c r="NSZ21" s="195"/>
      <c r="NTA21" s="196"/>
      <c r="NTB21" s="195"/>
      <c r="NTC21" s="197"/>
      <c r="NTD21" s="198"/>
      <c r="NTE21" s="199"/>
      <c r="NTF21" s="194"/>
      <c r="NTG21" s="194"/>
      <c r="NTH21" s="194"/>
      <c r="NTI21" s="195"/>
      <c r="NTJ21" s="195"/>
      <c r="NTK21" s="196"/>
      <c r="NTL21" s="195"/>
      <c r="NTM21" s="197"/>
      <c r="NTN21" s="198"/>
      <c r="NTO21" s="199"/>
      <c r="NTP21" s="194"/>
      <c r="NTQ21" s="194"/>
      <c r="NTR21" s="194"/>
      <c r="NTS21" s="195"/>
      <c r="NTT21" s="195"/>
      <c r="NTU21" s="196"/>
      <c r="NTV21" s="195"/>
      <c r="NTW21" s="197"/>
      <c r="NTX21" s="198"/>
      <c r="NTY21" s="199"/>
      <c r="NTZ21" s="194"/>
      <c r="NUA21" s="194"/>
      <c r="NUB21" s="194"/>
      <c r="NUC21" s="195"/>
      <c r="NUD21" s="195"/>
      <c r="NUE21" s="196"/>
      <c r="NUF21" s="195"/>
      <c r="NUG21" s="197"/>
      <c r="NUH21" s="198"/>
      <c r="NUI21" s="199"/>
      <c r="NUJ21" s="194"/>
      <c r="NUK21" s="194"/>
      <c r="NUL21" s="194"/>
      <c r="NUM21" s="195"/>
      <c r="NUN21" s="195"/>
      <c r="NUO21" s="196"/>
      <c r="NUP21" s="195"/>
      <c r="NUQ21" s="197"/>
      <c r="NUR21" s="198"/>
      <c r="NUS21" s="199"/>
      <c r="NUT21" s="194"/>
      <c r="NUU21" s="194"/>
      <c r="NUV21" s="194"/>
      <c r="NUW21" s="195"/>
      <c r="NUX21" s="195"/>
      <c r="NUY21" s="196"/>
      <c r="NUZ21" s="195"/>
      <c r="NVA21" s="197"/>
      <c r="NVB21" s="198"/>
      <c r="NVC21" s="199"/>
      <c r="NVD21" s="194"/>
      <c r="NVE21" s="194"/>
      <c r="NVF21" s="194"/>
      <c r="NVG21" s="195"/>
      <c r="NVH21" s="195"/>
      <c r="NVI21" s="196"/>
      <c r="NVJ21" s="195"/>
      <c r="NVK21" s="197"/>
      <c r="NVL21" s="198"/>
      <c r="NVM21" s="199"/>
      <c r="NVN21" s="194"/>
      <c r="NVO21" s="194"/>
      <c r="NVP21" s="194"/>
      <c r="NVQ21" s="195"/>
      <c r="NVR21" s="195"/>
      <c r="NVS21" s="196"/>
      <c r="NVT21" s="195"/>
      <c r="NVU21" s="197"/>
      <c r="NVV21" s="198"/>
      <c r="NVW21" s="199"/>
      <c r="NVX21" s="194"/>
      <c r="NVY21" s="194"/>
      <c r="NVZ21" s="194"/>
      <c r="NWA21" s="195"/>
      <c r="NWB21" s="195"/>
      <c r="NWC21" s="196"/>
      <c r="NWD21" s="195"/>
      <c r="NWE21" s="197"/>
      <c r="NWF21" s="198"/>
      <c r="NWG21" s="199"/>
      <c r="NWH21" s="194"/>
      <c r="NWI21" s="194"/>
      <c r="NWJ21" s="194"/>
      <c r="NWK21" s="195"/>
      <c r="NWL21" s="195"/>
      <c r="NWM21" s="196"/>
      <c r="NWN21" s="195"/>
      <c r="NWO21" s="197"/>
      <c r="NWP21" s="198"/>
      <c r="NWQ21" s="199"/>
      <c r="NWR21" s="194"/>
      <c r="NWS21" s="194"/>
      <c r="NWT21" s="194"/>
      <c r="NWU21" s="195"/>
      <c r="NWV21" s="195"/>
      <c r="NWW21" s="196"/>
      <c r="NWX21" s="195"/>
      <c r="NWY21" s="197"/>
      <c r="NWZ21" s="198"/>
      <c r="NXA21" s="199"/>
      <c r="NXB21" s="194"/>
      <c r="NXC21" s="194"/>
      <c r="NXD21" s="194"/>
      <c r="NXE21" s="195"/>
      <c r="NXF21" s="195"/>
      <c r="NXG21" s="196"/>
      <c r="NXH21" s="195"/>
      <c r="NXI21" s="197"/>
      <c r="NXJ21" s="198"/>
      <c r="NXK21" s="199"/>
      <c r="NXL21" s="194"/>
      <c r="NXM21" s="194"/>
      <c r="NXN21" s="194"/>
      <c r="NXO21" s="195"/>
      <c r="NXP21" s="195"/>
      <c r="NXQ21" s="196"/>
      <c r="NXR21" s="195"/>
      <c r="NXS21" s="197"/>
      <c r="NXT21" s="198"/>
      <c r="NXU21" s="199"/>
      <c r="NXV21" s="194"/>
      <c r="NXW21" s="194"/>
      <c r="NXX21" s="194"/>
      <c r="NXY21" s="195"/>
      <c r="NXZ21" s="195"/>
      <c r="NYA21" s="196"/>
      <c r="NYB21" s="195"/>
      <c r="NYC21" s="197"/>
      <c r="NYD21" s="198"/>
      <c r="NYE21" s="199"/>
      <c r="NYF21" s="194"/>
      <c r="NYG21" s="194"/>
      <c r="NYH21" s="194"/>
      <c r="NYI21" s="195"/>
      <c r="NYJ21" s="195"/>
      <c r="NYK21" s="196"/>
      <c r="NYL21" s="195"/>
      <c r="NYM21" s="197"/>
      <c r="NYN21" s="198"/>
      <c r="NYO21" s="199"/>
      <c r="NYP21" s="194"/>
      <c r="NYQ21" s="194"/>
      <c r="NYR21" s="194"/>
      <c r="NYS21" s="195"/>
      <c r="NYT21" s="195"/>
      <c r="NYU21" s="196"/>
      <c r="NYV21" s="195"/>
      <c r="NYW21" s="197"/>
      <c r="NYX21" s="198"/>
      <c r="NYY21" s="199"/>
      <c r="NYZ21" s="194"/>
      <c r="NZA21" s="194"/>
      <c r="NZB21" s="194"/>
      <c r="NZC21" s="195"/>
      <c r="NZD21" s="195"/>
      <c r="NZE21" s="196"/>
      <c r="NZF21" s="195"/>
      <c r="NZG21" s="197"/>
      <c r="NZH21" s="198"/>
      <c r="NZI21" s="199"/>
      <c r="NZJ21" s="194"/>
      <c r="NZK21" s="194"/>
      <c r="NZL21" s="194"/>
      <c r="NZM21" s="195"/>
      <c r="NZN21" s="195"/>
      <c r="NZO21" s="196"/>
      <c r="NZP21" s="195"/>
      <c r="NZQ21" s="197"/>
      <c r="NZR21" s="198"/>
      <c r="NZS21" s="199"/>
      <c r="NZT21" s="194"/>
      <c r="NZU21" s="194"/>
      <c r="NZV21" s="194"/>
      <c r="NZW21" s="195"/>
      <c r="NZX21" s="195"/>
      <c r="NZY21" s="196"/>
      <c r="NZZ21" s="195"/>
      <c r="OAA21" s="197"/>
      <c r="OAB21" s="198"/>
      <c r="OAC21" s="199"/>
      <c r="OAD21" s="194"/>
      <c r="OAE21" s="194"/>
      <c r="OAF21" s="194"/>
      <c r="OAG21" s="195"/>
      <c r="OAH21" s="195"/>
      <c r="OAI21" s="196"/>
      <c r="OAJ21" s="195"/>
      <c r="OAK21" s="197"/>
      <c r="OAL21" s="198"/>
      <c r="OAM21" s="199"/>
      <c r="OAN21" s="194"/>
      <c r="OAO21" s="194"/>
      <c r="OAP21" s="194"/>
      <c r="OAQ21" s="195"/>
      <c r="OAR21" s="195"/>
      <c r="OAS21" s="196"/>
      <c r="OAT21" s="195"/>
      <c r="OAU21" s="197"/>
      <c r="OAV21" s="198"/>
      <c r="OAW21" s="199"/>
      <c r="OAX21" s="194"/>
      <c r="OAY21" s="194"/>
      <c r="OAZ21" s="194"/>
      <c r="OBA21" s="195"/>
      <c r="OBB21" s="195"/>
      <c r="OBC21" s="196"/>
      <c r="OBD21" s="195"/>
      <c r="OBE21" s="197"/>
      <c r="OBF21" s="198"/>
      <c r="OBG21" s="199"/>
      <c r="OBH21" s="194"/>
      <c r="OBI21" s="194"/>
      <c r="OBJ21" s="194"/>
      <c r="OBK21" s="195"/>
      <c r="OBL21" s="195"/>
      <c r="OBM21" s="196"/>
      <c r="OBN21" s="195"/>
      <c r="OBO21" s="197"/>
      <c r="OBP21" s="198"/>
      <c r="OBQ21" s="199"/>
      <c r="OBR21" s="194"/>
      <c r="OBS21" s="194"/>
      <c r="OBT21" s="194"/>
      <c r="OBU21" s="195"/>
      <c r="OBV21" s="195"/>
      <c r="OBW21" s="196"/>
      <c r="OBX21" s="195"/>
      <c r="OBY21" s="197"/>
      <c r="OBZ21" s="198"/>
      <c r="OCA21" s="199"/>
      <c r="OCB21" s="194"/>
      <c r="OCC21" s="194"/>
      <c r="OCD21" s="194"/>
      <c r="OCE21" s="195"/>
      <c r="OCF21" s="195"/>
      <c r="OCG21" s="196"/>
      <c r="OCH21" s="195"/>
      <c r="OCI21" s="197"/>
      <c r="OCJ21" s="198"/>
      <c r="OCK21" s="199"/>
      <c r="OCL21" s="194"/>
      <c r="OCM21" s="194"/>
      <c r="OCN21" s="194"/>
      <c r="OCO21" s="195"/>
      <c r="OCP21" s="195"/>
      <c r="OCQ21" s="196"/>
      <c r="OCR21" s="195"/>
      <c r="OCS21" s="197"/>
      <c r="OCT21" s="198"/>
      <c r="OCU21" s="199"/>
      <c r="OCV21" s="194"/>
      <c r="OCW21" s="194"/>
      <c r="OCX21" s="194"/>
      <c r="OCY21" s="195"/>
      <c r="OCZ21" s="195"/>
      <c r="ODA21" s="196"/>
      <c r="ODB21" s="195"/>
      <c r="ODC21" s="197"/>
      <c r="ODD21" s="198"/>
      <c r="ODE21" s="199"/>
      <c r="ODF21" s="194"/>
      <c r="ODG21" s="194"/>
      <c r="ODH21" s="194"/>
      <c r="ODI21" s="195"/>
      <c r="ODJ21" s="195"/>
      <c r="ODK21" s="196"/>
      <c r="ODL21" s="195"/>
      <c r="ODM21" s="197"/>
      <c r="ODN21" s="198"/>
      <c r="ODO21" s="199"/>
      <c r="ODP21" s="194"/>
      <c r="ODQ21" s="194"/>
      <c r="ODR21" s="194"/>
      <c r="ODS21" s="195"/>
      <c r="ODT21" s="195"/>
      <c r="ODU21" s="196"/>
      <c r="ODV21" s="195"/>
      <c r="ODW21" s="197"/>
      <c r="ODX21" s="198"/>
      <c r="ODY21" s="199"/>
      <c r="ODZ21" s="194"/>
      <c r="OEA21" s="194"/>
      <c r="OEB21" s="194"/>
      <c r="OEC21" s="195"/>
      <c r="OED21" s="195"/>
      <c r="OEE21" s="196"/>
      <c r="OEF21" s="195"/>
      <c r="OEG21" s="197"/>
      <c r="OEH21" s="198"/>
      <c r="OEI21" s="199"/>
      <c r="OEJ21" s="194"/>
      <c r="OEK21" s="194"/>
      <c r="OEL21" s="194"/>
      <c r="OEM21" s="195"/>
      <c r="OEN21" s="195"/>
      <c r="OEO21" s="196"/>
      <c r="OEP21" s="195"/>
      <c r="OEQ21" s="197"/>
      <c r="OER21" s="198"/>
      <c r="OES21" s="199"/>
      <c r="OET21" s="194"/>
      <c r="OEU21" s="194"/>
      <c r="OEV21" s="194"/>
      <c r="OEW21" s="195"/>
      <c r="OEX21" s="195"/>
      <c r="OEY21" s="196"/>
      <c r="OEZ21" s="195"/>
      <c r="OFA21" s="197"/>
      <c r="OFB21" s="198"/>
      <c r="OFC21" s="199"/>
      <c r="OFD21" s="194"/>
      <c r="OFE21" s="194"/>
      <c r="OFF21" s="194"/>
      <c r="OFG21" s="195"/>
      <c r="OFH21" s="195"/>
      <c r="OFI21" s="196"/>
      <c r="OFJ21" s="195"/>
      <c r="OFK21" s="197"/>
      <c r="OFL21" s="198"/>
      <c r="OFM21" s="199"/>
      <c r="OFN21" s="194"/>
      <c r="OFO21" s="194"/>
      <c r="OFP21" s="194"/>
      <c r="OFQ21" s="195"/>
      <c r="OFR21" s="195"/>
      <c r="OFS21" s="196"/>
      <c r="OFT21" s="195"/>
      <c r="OFU21" s="197"/>
      <c r="OFV21" s="198"/>
      <c r="OFW21" s="199"/>
      <c r="OFX21" s="194"/>
      <c r="OFY21" s="194"/>
      <c r="OFZ21" s="194"/>
      <c r="OGA21" s="195"/>
      <c r="OGB21" s="195"/>
      <c r="OGC21" s="196"/>
      <c r="OGD21" s="195"/>
      <c r="OGE21" s="197"/>
      <c r="OGF21" s="198"/>
      <c r="OGG21" s="199"/>
      <c r="OGH21" s="194"/>
      <c r="OGI21" s="194"/>
      <c r="OGJ21" s="194"/>
      <c r="OGK21" s="195"/>
      <c r="OGL21" s="195"/>
      <c r="OGM21" s="196"/>
      <c r="OGN21" s="195"/>
      <c r="OGO21" s="197"/>
      <c r="OGP21" s="198"/>
      <c r="OGQ21" s="199"/>
      <c r="OGR21" s="194"/>
      <c r="OGS21" s="194"/>
      <c r="OGT21" s="194"/>
      <c r="OGU21" s="195"/>
      <c r="OGV21" s="195"/>
      <c r="OGW21" s="196"/>
      <c r="OGX21" s="195"/>
      <c r="OGY21" s="197"/>
      <c r="OGZ21" s="198"/>
      <c r="OHA21" s="199"/>
      <c r="OHB21" s="194"/>
      <c r="OHC21" s="194"/>
      <c r="OHD21" s="194"/>
      <c r="OHE21" s="195"/>
      <c r="OHF21" s="195"/>
      <c r="OHG21" s="196"/>
      <c r="OHH21" s="195"/>
      <c r="OHI21" s="197"/>
      <c r="OHJ21" s="198"/>
      <c r="OHK21" s="199"/>
      <c r="OHL21" s="194"/>
      <c r="OHM21" s="194"/>
      <c r="OHN21" s="194"/>
      <c r="OHO21" s="195"/>
      <c r="OHP21" s="195"/>
      <c r="OHQ21" s="196"/>
      <c r="OHR21" s="195"/>
      <c r="OHS21" s="197"/>
      <c r="OHT21" s="198"/>
      <c r="OHU21" s="199"/>
      <c r="OHV21" s="194"/>
      <c r="OHW21" s="194"/>
      <c r="OHX21" s="194"/>
      <c r="OHY21" s="195"/>
      <c r="OHZ21" s="195"/>
      <c r="OIA21" s="196"/>
      <c r="OIB21" s="195"/>
      <c r="OIC21" s="197"/>
      <c r="OID21" s="198"/>
      <c r="OIE21" s="199"/>
      <c r="OIF21" s="194"/>
      <c r="OIG21" s="194"/>
      <c r="OIH21" s="194"/>
      <c r="OII21" s="195"/>
      <c r="OIJ21" s="195"/>
      <c r="OIK21" s="196"/>
      <c r="OIL21" s="195"/>
      <c r="OIM21" s="197"/>
      <c r="OIN21" s="198"/>
      <c r="OIO21" s="199"/>
      <c r="OIP21" s="194"/>
      <c r="OIQ21" s="194"/>
      <c r="OIR21" s="194"/>
      <c r="OIS21" s="195"/>
      <c r="OIT21" s="195"/>
      <c r="OIU21" s="196"/>
      <c r="OIV21" s="195"/>
      <c r="OIW21" s="197"/>
      <c r="OIX21" s="198"/>
      <c r="OIY21" s="199"/>
      <c r="OIZ21" s="194"/>
      <c r="OJA21" s="194"/>
      <c r="OJB21" s="194"/>
      <c r="OJC21" s="195"/>
      <c r="OJD21" s="195"/>
      <c r="OJE21" s="196"/>
      <c r="OJF21" s="195"/>
      <c r="OJG21" s="197"/>
      <c r="OJH21" s="198"/>
      <c r="OJI21" s="199"/>
      <c r="OJJ21" s="194"/>
      <c r="OJK21" s="194"/>
      <c r="OJL21" s="194"/>
      <c r="OJM21" s="195"/>
      <c r="OJN21" s="195"/>
      <c r="OJO21" s="196"/>
      <c r="OJP21" s="195"/>
      <c r="OJQ21" s="197"/>
      <c r="OJR21" s="198"/>
      <c r="OJS21" s="199"/>
      <c r="OJT21" s="194"/>
      <c r="OJU21" s="194"/>
      <c r="OJV21" s="194"/>
      <c r="OJW21" s="195"/>
      <c r="OJX21" s="195"/>
      <c r="OJY21" s="196"/>
      <c r="OJZ21" s="195"/>
      <c r="OKA21" s="197"/>
      <c r="OKB21" s="198"/>
      <c r="OKC21" s="199"/>
      <c r="OKD21" s="194"/>
      <c r="OKE21" s="194"/>
      <c r="OKF21" s="194"/>
      <c r="OKG21" s="195"/>
      <c r="OKH21" s="195"/>
      <c r="OKI21" s="196"/>
      <c r="OKJ21" s="195"/>
      <c r="OKK21" s="197"/>
      <c r="OKL21" s="198"/>
      <c r="OKM21" s="199"/>
      <c r="OKN21" s="194"/>
      <c r="OKO21" s="194"/>
      <c r="OKP21" s="194"/>
      <c r="OKQ21" s="195"/>
      <c r="OKR21" s="195"/>
      <c r="OKS21" s="196"/>
      <c r="OKT21" s="195"/>
      <c r="OKU21" s="197"/>
      <c r="OKV21" s="198"/>
      <c r="OKW21" s="199"/>
      <c r="OKX21" s="194"/>
      <c r="OKY21" s="194"/>
      <c r="OKZ21" s="194"/>
      <c r="OLA21" s="195"/>
      <c r="OLB21" s="195"/>
      <c r="OLC21" s="196"/>
      <c r="OLD21" s="195"/>
      <c r="OLE21" s="197"/>
      <c r="OLF21" s="198"/>
      <c r="OLG21" s="199"/>
      <c r="OLH21" s="194"/>
      <c r="OLI21" s="194"/>
      <c r="OLJ21" s="194"/>
      <c r="OLK21" s="195"/>
      <c r="OLL21" s="195"/>
      <c r="OLM21" s="196"/>
      <c r="OLN21" s="195"/>
      <c r="OLO21" s="197"/>
      <c r="OLP21" s="198"/>
      <c r="OLQ21" s="199"/>
      <c r="OLR21" s="194"/>
      <c r="OLS21" s="194"/>
      <c r="OLT21" s="194"/>
      <c r="OLU21" s="195"/>
      <c r="OLV21" s="195"/>
      <c r="OLW21" s="196"/>
      <c r="OLX21" s="195"/>
      <c r="OLY21" s="197"/>
      <c r="OLZ21" s="198"/>
      <c r="OMA21" s="199"/>
      <c r="OMB21" s="194"/>
      <c r="OMC21" s="194"/>
      <c r="OMD21" s="194"/>
      <c r="OME21" s="195"/>
      <c r="OMF21" s="195"/>
      <c r="OMG21" s="196"/>
      <c r="OMH21" s="195"/>
      <c r="OMI21" s="197"/>
      <c r="OMJ21" s="198"/>
      <c r="OMK21" s="199"/>
      <c r="OML21" s="194"/>
      <c r="OMM21" s="194"/>
      <c r="OMN21" s="194"/>
      <c r="OMO21" s="195"/>
      <c r="OMP21" s="195"/>
      <c r="OMQ21" s="196"/>
      <c r="OMR21" s="195"/>
      <c r="OMS21" s="197"/>
      <c r="OMT21" s="198"/>
      <c r="OMU21" s="199"/>
      <c r="OMV21" s="194"/>
      <c r="OMW21" s="194"/>
      <c r="OMX21" s="194"/>
      <c r="OMY21" s="195"/>
      <c r="OMZ21" s="195"/>
      <c r="ONA21" s="196"/>
      <c r="ONB21" s="195"/>
      <c r="ONC21" s="197"/>
      <c r="OND21" s="198"/>
      <c r="ONE21" s="199"/>
      <c r="ONF21" s="194"/>
      <c r="ONG21" s="194"/>
      <c r="ONH21" s="194"/>
      <c r="ONI21" s="195"/>
      <c r="ONJ21" s="195"/>
      <c r="ONK21" s="196"/>
      <c r="ONL21" s="195"/>
      <c r="ONM21" s="197"/>
      <c r="ONN21" s="198"/>
      <c r="ONO21" s="199"/>
      <c r="ONP21" s="194"/>
      <c r="ONQ21" s="194"/>
      <c r="ONR21" s="194"/>
      <c r="ONS21" s="195"/>
      <c r="ONT21" s="195"/>
      <c r="ONU21" s="196"/>
      <c r="ONV21" s="195"/>
      <c r="ONW21" s="197"/>
      <c r="ONX21" s="198"/>
      <c r="ONY21" s="199"/>
      <c r="ONZ21" s="194"/>
      <c r="OOA21" s="194"/>
      <c r="OOB21" s="194"/>
      <c r="OOC21" s="195"/>
      <c r="OOD21" s="195"/>
      <c r="OOE21" s="196"/>
      <c r="OOF21" s="195"/>
      <c r="OOG21" s="197"/>
      <c r="OOH21" s="198"/>
      <c r="OOI21" s="199"/>
      <c r="OOJ21" s="194"/>
      <c r="OOK21" s="194"/>
      <c r="OOL21" s="194"/>
      <c r="OOM21" s="195"/>
      <c r="OON21" s="195"/>
      <c r="OOO21" s="196"/>
      <c r="OOP21" s="195"/>
      <c r="OOQ21" s="197"/>
      <c r="OOR21" s="198"/>
      <c r="OOS21" s="199"/>
      <c r="OOT21" s="194"/>
      <c r="OOU21" s="194"/>
      <c r="OOV21" s="194"/>
      <c r="OOW21" s="195"/>
      <c r="OOX21" s="195"/>
      <c r="OOY21" s="196"/>
      <c r="OOZ21" s="195"/>
      <c r="OPA21" s="197"/>
      <c r="OPB21" s="198"/>
      <c r="OPC21" s="199"/>
      <c r="OPD21" s="194"/>
      <c r="OPE21" s="194"/>
      <c r="OPF21" s="194"/>
      <c r="OPG21" s="195"/>
      <c r="OPH21" s="195"/>
      <c r="OPI21" s="196"/>
      <c r="OPJ21" s="195"/>
      <c r="OPK21" s="197"/>
      <c r="OPL21" s="198"/>
      <c r="OPM21" s="199"/>
      <c r="OPN21" s="194"/>
      <c r="OPO21" s="194"/>
      <c r="OPP21" s="194"/>
      <c r="OPQ21" s="195"/>
      <c r="OPR21" s="195"/>
      <c r="OPS21" s="196"/>
      <c r="OPT21" s="195"/>
      <c r="OPU21" s="197"/>
      <c r="OPV21" s="198"/>
      <c r="OPW21" s="199"/>
      <c r="OPX21" s="194"/>
      <c r="OPY21" s="194"/>
      <c r="OPZ21" s="194"/>
      <c r="OQA21" s="195"/>
      <c r="OQB21" s="195"/>
      <c r="OQC21" s="196"/>
      <c r="OQD21" s="195"/>
      <c r="OQE21" s="197"/>
      <c r="OQF21" s="198"/>
      <c r="OQG21" s="199"/>
      <c r="OQH21" s="194"/>
      <c r="OQI21" s="194"/>
      <c r="OQJ21" s="194"/>
      <c r="OQK21" s="195"/>
      <c r="OQL21" s="195"/>
      <c r="OQM21" s="196"/>
      <c r="OQN21" s="195"/>
      <c r="OQO21" s="197"/>
      <c r="OQP21" s="198"/>
      <c r="OQQ21" s="199"/>
      <c r="OQR21" s="194"/>
      <c r="OQS21" s="194"/>
      <c r="OQT21" s="194"/>
      <c r="OQU21" s="195"/>
      <c r="OQV21" s="195"/>
      <c r="OQW21" s="196"/>
      <c r="OQX21" s="195"/>
      <c r="OQY21" s="197"/>
      <c r="OQZ21" s="198"/>
      <c r="ORA21" s="199"/>
      <c r="ORB21" s="194"/>
      <c r="ORC21" s="194"/>
      <c r="ORD21" s="194"/>
      <c r="ORE21" s="195"/>
      <c r="ORF21" s="195"/>
      <c r="ORG21" s="196"/>
      <c r="ORH21" s="195"/>
      <c r="ORI21" s="197"/>
      <c r="ORJ21" s="198"/>
      <c r="ORK21" s="199"/>
      <c r="ORL21" s="194"/>
      <c r="ORM21" s="194"/>
      <c r="ORN21" s="194"/>
      <c r="ORO21" s="195"/>
      <c r="ORP21" s="195"/>
      <c r="ORQ21" s="196"/>
      <c r="ORR21" s="195"/>
      <c r="ORS21" s="197"/>
      <c r="ORT21" s="198"/>
      <c r="ORU21" s="199"/>
      <c r="ORV21" s="194"/>
      <c r="ORW21" s="194"/>
      <c r="ORX21" s="194"/>
      <c r="ORY21" s="195"/>
      <c r="ORZ21" s="195"/>
      <c r="OSA21" s="196"/>
      <c r="OSB21" s="195"/>
      <c r="OSC21" s="197"/>
      <c r="OSD21" s="198"/>
      <c r="OSE21" s="199"/>
      <c r="OSF21" s="194"/>
      <c r="OSG21" s="194"/>
      <c r="OSH21" s="194"/>
      <c r="OSI21" s="195"/>
      <c r="OSJ21" s="195"/>
      <c r="OSK21" s="196"/>
      <c r="OSL21" s="195"/>
      <c r="OSM21" s="197"/>
      <c r="OSN21" s="198"/>
      <c r="OSO21" s="199"/>
      <c r="OSP21" s="194"/>
      <c r="OSQ21" s="194"/>
      <c r="OSR21" s="194"/>
      <c r="OSS21" s="195"/>
      <c r="OST21" s="195"/>
      <c r="OSU21" s="196"/>
      <c r="OSV21" s="195"/>
      <c r="OSW21" s="197"/>
      <c r="OSX21" s="198"/>
      <c r="OSY21" s="199"/>
      <c r="OSZ21" s="194"/>
      <c r="OTA21" s="194"/>
      <c r="OTB21" s="194"/>
      <c r="OTC21" s="195"/>
      <c r="OTD21" s="195"/>
      <c r="OTE21" s="196"/>
      <c r="OTF21" s="195"/>
      <c r="OTG21" s="197"/>
      <c r="OTH21" s="198"/>
      <c r="OTI21" s="199"/>
      <c r="OTJ21" s="194"/>
      <c r="OTK21" s="194"/>
      <c r="OTL21" s="194"/>
      <c r="OTM21" s="195"/>
      <c r="OTN21" s="195"/>
      <c r="OTO21" s="196"/>
      <c r="OTP21" s="195"/>
      <c r="OTQ21" s="197"/>
      <c r="OTR21" s="198"/>
      <c r="OTS21" s="199"/>
      <c r="OTT21" s="194"/>
      <c r="OTU21" s="194"/>
      <c r="OTV21" s="194"/>
      <c r="OTW21" s="195"/>
      <c r="OTX21" s="195"/>
      <c r="OTY21" s="196"/>
      <c r="OTZ21" s="195"/>
      <c r="OUA21" s="197"/>
      <c r="OUB21" s="198"/>
      <c r="OUC21" s="199"/>
      <c r="OUD21" s="194"/>
      <c r="OUE21" s="194"/>
      <c r="OUF21" s="194"/>
      <c r="OUG21" s="195"/>
      <c r="OUH21" s="195"/>
      <c r="OUI21" s="196"/>
      <c r="OUJ21" s="195"/>
      <c r="OUK21" s="197"/>
      <c r="OUL21" s="198"/>
      <c r="OUM21" s="199"/>
      <c r="OUN21" s="194"/>
      <c r="OUO21" s="194"/>
      <c r="OUP21" s="194"/>
      <c r="OUQ21" s="195"/>
      <c r="OUR21" s="195"/>
      <c r="OUS21" s="196"/>
      <c r="OUT21" s="195"/>
      <c r="OUU21" s="197"/>
      <c r="OUV21" s="198"/>
      <c r="OUW21" s="199"/>
      <c r="OUX21" s="194"/>
      <c r="OUY21" s="194"/>
      <c r="OUZ21" s="194"/>
      <c r="OVA21" s="195"/>
      <c r="OVB21" s="195"/>
      <c r="OVC21" s="196"/>
      <c r="OVD21" s="195"/>
      <c r="OVE21" s="197"/>
      <c r="OVF21" s="198"/>
      <c r="OVG21" s="199"/>
      <c r="OVH21" s="194"/>
      <c r="OVI21" s="194"/>
      <c r="OVJ21" s="194"/>
      <c r="OVK21" s="195"/>
      <c r="OVL21" s="195"/>
      <c r="OVM21" s="196"/>
      <c r="OVN21" s="195"/>
      <c r="OVO21" s="197"/>
      <c r="OVP21" s="198"/>
      <c r="OVQ21" s="199"/>
      <c r="OVR21" s="194"/>
      <c r="OVS21" s="194"/>
      <c r="OVT21" s="194"/>
      <c r="OVU21" s="195"/>
      <c r="OVV21" s="195"/>
      <c r="OVW21" s="196"/>
      <c r="OVX21" s="195"/>
      <c r="OVY21" s="197"/>
      <c r="OVZ21" s="198"/>
      <c r="OWA21" s="199"/>
      <c r="OWB21" s="194"/>
      <c r="OWC21" s="194"/>
      <c r="OWD21" s="194"/>
      <c r="OWE21" s="195"/>
      <c r="OWF21" s="195"/>
      <c r="OWG21" s="196"/>
      <c r="OWH21" s="195"/>
      <c r="OWI21" s="197"/>
      <c r="OWJ21" s="198"/>
      <c r="OWK21" s="199"/>
      <c r="OWL21" s="194"/>
      <c r="OWM21" s="194"/>
      <c r="OWN21" s="194"/>
      <c r="OWO21" s="195"/>
      <c r="OWP21" s="195"/>
      <c r="OWQ21" s="196"/>
      <c r="OWR21" s="195"/>
      <c r="OWS21" s="197"/>
      <c r="OWT21" s="198"/>
      <c r="OWU21" s="199"/>
      <c r="OWV21" s="194"/>
      <c r="OWW21" s="194"/>
      <c r="OWX21" s="194"/>
      <c r="OWY21" s="195"/>
      <c r="OWZ21" s="195"/>
      <c r="OXA21" s="196"/>
      <c r="OXB21" s="195"/>
      <c r="OXC21" s="197"/>
      <c r="OXD21" s="198"/>
      <c r="OXE21" s="199"/>
      <c r="OXF21" s="194"/>
      <c r="OXG21" s="194"/>
      <c r="OXH21" s="194"/>
      <c r="OXI21" s="195"/>
      <c r="OXJ21" s="195"/>
      <c r="OXK21" s="196"/>
      <c r="OXL21" s="195"/>
      <c r="OXM21" s="197"/>
      <c r="OXN21" s="198"/>
      <c r="OXO21" s="199"/>
      <c r="OXP21" s="194"/>
      <c r="OXQ21" s="194"/>
      <c r="OXR21" s="194"/>
      <c r="OXS21" s="195"/>
      <c r="OXT21" s="195"/>
      <c r="OXU21" s="196"/>
      <c r="OXV21" s="195"/>
      <c r="OXW21" s="197"/>
      <c r="OXX21" s="198"/>
      <c r="OXY21" s="199"/>
      <c r="OXZ21" s="194"/>
      <c r="OYA21" s="194"/>
      <c r="OYB21" s="194"/>
      <c r="OYC21" s="195"/>
      <c r="OYD21" s="195"/>
      <c r="OYE21" s="196"/>
      <c r="OYF21" s="195"/>
      <c r="OYG21" s="197"/>
      <c r="OYH21" s="198"/>
      <c r="OYI21" s="199"/>
      <c r="OYJ21" s="194"/>
      <c r="OYK21" s="194"/>
      <c r="OYL21" s="194"/>
      <c r="OYM21" s="195"/>
      <c r="OYN21" s="195"/>
      <c r="OYO21" s="196"/>
      <c r="OYP21" s="195"/>
      <c r="OYQ21" s="197"/>
      <c r="OYR21" s="198"/>
      <c r="OYS21" s="199"/>
      <c r="OYT21" s="194"/>
      <c r="OYU21" s="194"/>
      <c r="OYV21" s="194"/>
      <c r="OYW21" s="195"/>
      <c r="OYX21" s="195"/>
      <c r="OYY21" s="196"/>
      <c r="OYZ21" s="195"/>
      <c r="OZA21" s="197"/>
      <c r="OZB21" s="198"/>
      <c r="OZC21" s="199"/>
      <c r="OZD21" s="194"/>
      <c r="OZE21" s="194"/>
      <c r="OZF21" s="194"/>
      <c r="OZG21" s="195"/>
      <c r="OZH21" s="195"/>
      <c r="OZI21" s="196"/>
      <c r="OZJ21" s="195"/>
      <c r="OZK21" s="197"/>
      <c r="OZL21" s="198"/>
      <c r="OZM21" s="199"/>
      <c r="OZN21" s="194"/>
      <c r="OZO21" s="194"/>
      <c r="OZP21" s="194"/>
      <c r="OZQ21" s="195"/>
      <c r="OZR21" s="195"/>
      <c r="OZS21" s="196"/>
      <c r="OZT21" s="195"/>
      <c r="OZU21" s="197"/>
      <c r="OZV21" s="198"/>
      <c r="OZW21" s="199"/>
      <c r="OZX21" s="194"/>
      <c r="OZY21" s="194"/>
      <c r="OZZ21" s="194"/>
      <c r="PAA21" s="195"/>
      <c r="PAB21" s="195"/>
      <c r="PAC21" s="196"/>
      <c r="PAD21" s="195"/>
      <c r="PAE21" s="197"/>
      <c r="PAF21" s="198"/>
      <c r="PAG21" s="199"/>
      <c r="PAH21" s="194"/>
      <c r="PAI21" s="194"/>
      <c r="PAJ21" s="194"/>
      <c r="PAK21" s="195"/>
      <c r="PAL21" s="195"/>
      <c r="PAM21" s="196"/>
      <c r="PAN21" s="195"/>
      <c r="PAO21" s="197"/>
      <c r="PAP21" s="198"/>
      <c r="PAQ21" s="199"/>
      <c r="PAR21" s="194"/>
      <c r="PAS21" s="194"/>
      <c r="PAT21" s="194"/>
      <c r="PAU21" s="195"/>
      <c r="PAV21" s="195"/>
      <c r="PAW21" s="196"/>
      <c r="PAX21" s="195"/>
      <c r="PAY21" s="197"/>
      <c r="PAZ21" s="198"/>
      <c r="PBA21" s="199"/>
      <c r="PBB21" s="194"/>
      <c r="PBC21" s="194"/>
      <c r="PBD21" s="194"/>
      <c r="PBE21" s="195"/>
      <c r="PBF21" s="195"/>
      <c r="PBG21" s="196"/>
      <c r="PBH21" s="195"/>
      <c r="PBI21" s="197"/>
      <c r="PBJ21" s="198"/>
      <c r="PBK21" s="199"/>
      <c r="PBL21" s="194"/>
      <c r="PBM21" s="194"/>
      <c r="PBN21" s="194"/>
      <c r="PBO21" s="195"/>
      <c r="PBP21" s="195"/>
      <c r="PBQ21" s="196"/>
      <c r="PBR21" s="195"/>
      <c r="PBS21" s="197"/>
      <c r="PBT21" s="198"/>
      <c r="PBU21" s="199"/>
      <c r="PBV21" s="194"/>
      <c r="PBW21" s="194"/>
      <c r="PBX21" s="194"/>
      <c r="PBY21" s="195"/>
      <c r="PBZ21" s="195"/>
      <c r="PCA21" s="196"/>
      <c r="PCB21" s="195"/>
      <c r="PCC21" s="197"/>
      <c r="PCD21" s="198"/>
      <c r="PCE21" s="199"/>
      <c r="PCF21" s="194"/>
      <c r="PCG21" s="194"/>
      <c r="PCH21" s="194"/>
      <c r="PCI21" s="195"/>
      <c r="PCJ21" s="195"/>
      <c r="PCK21" s="196"/>
      <c r="PCL21" s="195"/>
      <c r="PCM21" s="197"/>
      <c r="PCN21" s="198"/>
      <c r="PCO21" s="199"/>
      <c r="PCP21" s="194"/>
      <c r="PCQ21" s="194"/>
      <c r="PCR21" s="194"/>
      <c r="PCS21" s="195"/>
      <c r="PCT21" s="195"/>
      <c r="PCU21" s="196"/>
      <c r="PCV21" s="195"/>
      <c r="PCW21" s="197"/>
      <c r="PCX21" s="198"/>
      <c r="PCY21" s="199"/>
      <c r="PCZ21" s="194"/>
      <c r="PDA21" s="194"/>
      <c r="PDB21" s="194"/>
      <c r="PDC21" s="195"/>
      <c r="PDD21" s="195"/>
      <c r="PDE21" s="196"/>
      <c r="PDF21" s="195"/>
      <c r="PDG21" s="197"/>
      <c r="PDH21" s="198"/>
      <c r="PDI21" s="199"/>
      <c r="PDJ21" s="194"/>
      <c r="PDK21" s="194"/>
      <c r="PDL21" s="194"/>
      <c r="PDM21" s="195"/>
      <c r="PDN21" s="195"/>
      <c r="PDO21" s="196"/>
      <c r="PDP21" s="195"/>
      <c r="PDQ21" s="197"/>
      <c r="PDR21" s="198"/>
      <c r="PDS21" s="199"/>
      <c r="PDT21" s="194"/>
      <c r="PDU21" s="194"/>
      <c r="PDV21" s="194"/>
      <c r="PDW21" s="195"/>
      <c r="PDX21" s="195"/>
      <c r="PDY21" s="196"/>
      <c r="PDZ21" s="195"/>
      <c r="PEA21" s="197"/>
      <c r="PEB21" s="198"/>
      <c r="PEC21" s="199"/>
      <c r="PED21" s="194"/>
      <c r="PEE21" s="194"/>
      <c r="PEF21" s="194"/>
      <c r="PEG21" s="195"/>
      <c r="PEH21" s="195"/>
      <c r="PEI21" s="196"/>
      <c r="PEJ21" s="195"/>
      <c r="PEK21" s="197"/>
      <c r="PEL21" s="198"/>
      <c r="PEM21" s="199"/>
      <c r="PEN21" s="194"/>
      <c r="PEO21" s="194"/>
      <c r="PEP21" s="194"/>
      <c r="PEQ21" s="195"/>
      <c r="PER21" s="195"/>
      <c r="PES21" s="196"/>
      <c r="PET21" s="195"/>
      <c r="PEU21" s="197"/>
      <c r="PEV21" s="198"/>
      <c r="PEW21" s="199"/>
      <c r="PEX21" s="194"/>
      <c r="PEY21" s="194"/>
      <c r="PEZ21" s="194"/>
      <c r="PFA21" s="195"/>
      <c r="PFB21" s="195"/>
      <c r="PFC21" s="196"/>
      <c r="PFD21" s="195"/>
      <c r="PFE21" s="197"/>
      <c r="PFF21" s="198"/>
      <c r="PFG21" s="199"/>
      <c r="PFH21" s="194"/>
      <c r="PFI21" s="194"/>
      <c r="PFJ21" s="194"/>
      <c r="PFK21" s="195"/>
      <c r="PFL21" s="195"/>
      <c r="PFM21" s="196"/>
      <c r="PFN21" s="195"/>
      <c r="PFO21" s="197"/>
      <c r="PFP21" s="198"/>
      <c r="PFQ21" s="199"/>
      <c r="PFR21" s="194"/>
      <c r="PFS21" s="194"/>
      <c r="PFT21" s="194"/>
      <c r="PFU21" s="195"/>
      <c r="PFV21" s="195"/>
      <c r="PFW21" s="196"/>
      <c r="PFX21" s="195"/>
      <c r="PFY21" s="197"/>
      <c r="PFZ21" s="198"/>
      <c r="PGA21" s="199"/>
      <c r="PGB21" s="194"/>
      <c r="PGC21" s="194"/>
      <c r="PGD21" s="194"/>
      <c r="PGE21" s="195"/>
      <c r="PGF21" s="195"/>
      <c r="PGG21" s="196"/>
      <c r="PGH21" s="195"/>
      <c r="PGI21" s="197"/>
      <c r="PGJ21" s="198"/>
      <c r="PGK21" s="199"/>
      <c r="PGL21" s="194"/>
      <c r="PGM21" s="194"/>
      <c r="PGN21" s="194"/>
      <c r="PGO21" s="195"/>
      <c r="PGP21" s="195"/>
      <c r="PGQ21" s="196"/>
      <c r="PGR21" s="195"/>
      <c r="PGS21" s="197"/>
      <c r="PGT21" s="198"/>
      <c r="PGU21" s="199"/>
      <c r="PGV21" s="194"/>
      <c r="PGW21" s="194"/>
      <c r="PGX21" s="194"/>
      <c r="PGY21" s="195"/>
      <c r="PGZ21" s="195"/>
      <c r="PHA21" s="196"/>
      <c r="PHB21" s="195"/>
      <c r="PHC21" s="197"/>
      <c r="PHD21" s="198"/>
      <c r="PHE21" s="199"/>
      <c r="PHF21" s="194"/>
      <c r="PHG21" s="194"/>
      <c r="PHH21" s="194"/>
      <c r="PHI21" s="195"/>
      <c r="PHJ21" s="195"/>
      <c r="PHK21" s="196"/>
      <c r="PHL21" s="195"/>
      <c r="PHM21" s="197"/>
      <c r="PHN21" s="198"/>
      <c r="PHO21" s="199"/>
      <c r="PHP21" s="194"/>
      <c r="PHQ21" s="194"/>
      <c r="PHR21" s="194"/>
      <c r="PHS21" s="195"/>
      <c r="PHT21" s="195"/>
      <c r="PHU21" s="196"/>
      <c r="PHV21" s="195"/>
      <c r="PHW21" s="197"/>
      <c r="PHX21" s="198"/>
      <c r="PHY21" s="199"/>
      <c r="PHZ21" s="194"/>
      <c r="PIA21" s="194"/>
      <c r="PIB21" s="194"/>
      <c r="PIC21" s="195"/>
      <c r="PID21" s="195"/>
      <c r="PIE21" s="196"/>
      <c r="PIF21" s="195"/>
      <c r="PIG21" s="197"/>
      <c r="PIH21" s="198"/>
      <c r="PII21" s="199"/>
      <c r="PIJ21" s="194"/>
      <c r="PIK21" s="194"/>
      <c r="PIL21" s="194"/>
      <c r="PIM21" s="195"/>
      <c r="PIN21" s="195"/>
      <c r="PIO21" s="196"/>
      <c r="PIP21" s="195"/>
      <c r="PIQ21" s="197"/>
      <c r="PIR21" s="198"/>
      <c r="PIS21" s="199"/>
      <c r="PIT21" s="194"/>
      <c r="PIU21" s="194"/>
      <c r="PIV21" s="194"/>
      <c r="PIW21" s="195"/>
      <c r="PIX21" s="195"/>
      <c r="PIY21" s="196"/>
      <c r="PIZ21" s="195"/>
      <c r="PJA21" s="197"/>
      <c r="PJB21" s="198"/>
      <c r="PJC21" s="199"/>
      <c r="PJD21" s="194"/>
      <c r="PJE21" s="194"/>
      <c r="PJF21" s="194"/>
      <c r="PJG21" s="195"/>
      <c r="PJH21" s="195"/>
      <c r="PJI21" s="196"/>
      <c r="PJJ21" s="195"/>
      <c r="PJK21" s="197"/>
      <c r="PJL21" s="198"/>
      <c r="PJM21" s="199"/>
      <c r="PJN21" s="194"/>
      <c r="PJO21" s="194"/>
      <c r="PJP21" s="194"/>
      <c r="PJQ21" s="195"/>
      <c r="PJR21" s="195"/>
      <c r="PJS21" s="196"/>
      <c r="PJT21" s="195"/>
      <c r="PJU21" s="197"/>
      <c r="PJV21" s="198"/>
      <c r="PJW21" s="199"/>
      <c r="PJX21" s="194"/>
      <c r="PJY21" s="194"/>
      <c r="PJZ21" s="194"/>
      <c r="PKA21" s="195"/>
      <c r="PKB21" s="195"/>
      <c r="PKC21" s="196"/>
      <c r="PKD21" s="195"/>
      <c r="PKE21" s="197"/>
      <c r="PKF21" s="198"/>
      <c r="PKG21" s="199"/>
      <c r="PKH21" s="194"/>
      <c r="PKI21" s="194"/>
      <c r="PKJ21" s="194"/>
      <c r="PKK21" s="195"/>
      <c r="PKL21" s="195"/>
      <c r="PKM21" s="196"/>
      <c r="PKN21" s="195"/>
      <c r="PKO21" s="197"/>
      <c r="PKP21" s="198"/>
      <c r="PKQ21" s="199"/>
      <c r="PKR21" s="194"/>
      <c r="PKS21" s="194"/>
      <c r="PKT21" s="194"/>
      <c r="PKU21" s="195"/>
      <c r="PKV21" s="195"/>
      <c r="PKW21" s="196"/>
      <c r="PKX21" s="195"/>
      <c r="PKY21" s="197"/>
      <c r="PKZ21" s="198"/>
      <c r="PLA21" s="199"/>
      <c r="PLB21" s="194"/>
      <c r="PLC21" s="194"/>
      <c r="PLD21" s="194"/>
      <c r="PLE21" s="195"/>
      <c r="PLF21" s="195"/>
      <c r="PLG21" s="196"/>
      <c r="PLH21" s="195"/>
      <c r="PLI21" s="197"/>
      <c r="PLJ21" s="198"/>
      <c r="PLK21" s="199"/>
      <c r="PLL21" s="194"/>
      <c r="PLM21" s="194"/>
      <c r="PLN21" s="194"/>
      <c r="PLO21" s="195"/>
      <c r="PLP21" s="195"/>
      <c r="PLQ21" s="196"/>
      <c r="PLR21" s="195"/>
      <c r="PLS21" s="197"/>
      <c r="PLT21" s="198"/>
      <c r="PLU21" s="199"/>
      <c r="PLV21" s="194"/>
      <c r="PLW21" s="194"/>
      <c r="PLX21" s="194"/>
      <c r="PLY21" s="195"/>
      <c r="PLZ21" s="195"/>
      <c r="PMA21" s="196"/>
      <c r="PMB21" s="195"/>
      <c r="PMC21" s="197"/>
      <c r="PMD21" s="198"/>
      <c r="PME21" s="199"/>
      <c r="PMF21" s="194"/>
      <c r="PMG21" s="194"/>
      <c r="PMH21" s="194"/>
      <c r="PMI21" s="195"/>
      <c r="PMJ21" s="195"/>
      <c r="PMK21" s="196"/>
      <c r="PML21" s="195"/>
      <c r="PMM21" s="197"/>
      <c r="PMN21" s="198"/>
      <c r="PMO21" s="199"/>
      <c r="PMP21" s="194"/>
      <c r="PMQ21" s="194"/>
      <c r="PMR21" s="194"/>
      <c r="PMS21" s="195"/>
      <c r="PMT21" s="195"/>
      <c r="PMU21" s="196"/>
      <c r="PMV21" s="195"/>
      <c r="PMW21" s="197"/>
      <c r="PMX21" s="198"/>
      <c r="PMY21" s="199"/>
      <c r="PMZ21" s="194"/>
      <c r="PNA21" s="194"/>
      <c r="PNB21" s="194"/>
      <c r="PNC21" s="195"/>
      <c r="PND21" s="195"/>
      <c r="PNE21" s="196"/>
      <c r="PNF21" s="195"/>
      <c r="PNG21" s="197"/>
      <c r="PNH21" s="198"/>
      <c r="PNI21" s="199"/>
      <c r="PNJ21" s="194"/>
      <c r="PNK21" s="194"/>
      <c r="PNL21" s="194"/>
      <c r="PNM21" s="195"/>
      <c r="PNN21" s="195"/>
      <c r="PNO21" s="196"/>
      <c r="PNP21" s="195"/>
      <c r="PNQ21" s="197"/>
      <c r="PNR21" s="198"/>
      <c r="PNS21" s="199"/>
      <c r="PNT21" s="194"/>
      <c r="PNU21" s="194"/>
      <c r="PNV21" s="194"/>
      <c r="PNW21" s="195"/>
      <c r="PNX21" s="195"/>
      <c r="PNY21" s="196"/>
      <c r="PNZ21" s="195"/>
      <c r="POA21" s="197"/>
      <c r="POB21" s="198"/>
      <c r="POC21" s="199"/>
      <c r="POD21" s="194"/>
      <c r="POE21" s="194"/>
      <c r="POF21" s="194"/>
      <c r="POG21" s="195"/>
      <c r="POH21" s="195"/>
      <c r="POI21" s="196"/>
      <c r="POJ21" s="195"/>
      <c r="POK21" s="197"/>
      <c r="POL21" s="198"/>
      <c r="POM21" s="199"/>
      <c r="PON21" s="194"/>
      <c r="POO21" s="194"/>
      <c r="POP21" s="194"/>
      <c r="POQ21" s="195"/>
      <c r="POR21" s="195"/>
      <c r="POS21" s="196"/>
      <c r="POT21" s="195"/>
      <c r="POU21" s="197"/>
      <c r="POV21" s="198"/>
      <c r="POW21" s="199"/>
      <c r="POX21" s="194"/>
      <c r="POY21" s="194"/>
      <c r="POZ21" s="194"/>
      <c r="PPA21" s="195"/>
      <c r="PPB21" s="195"/>
      <c r="PPC21" s="196"/>
      <c r="PPD21" s="195"/>
      <c r="PPE21" s="197"/>
      <c r="PPF21" s="198"/>
      <c r="PPG21" s="199"/>
      <c r="PPH21" s="194"/>
      <c r="PPI21" s="194"/>
      <c r="PPJ21" s="194"/>
      <c r="PPK21" s="195"/>
      <c r="PPL21" s="195"/>
      <c r="PPM21" s="196"/>
      <c r="PPN21" s="195"/>
      <c r="PPO21" s="197"/>
      <c r="PPP21" s="198"/>
      <c r="PPQ21" s="199"/>
      <c r="PPR21" s="194"/>
      <c r="PPS21" s="194"/>
      <c r="PPT21" s="194"/>
      <c r="PPU21" s="195"/>
      <c r="PPV21" s="195"/>
      <c r="PPW21" s="196"/>
      <c r="PPX21" s="195"/>
      <c r="PPY21" s="197"/>
      <c r="PPZ21" s="198"/>
      <c r="PQA21" s="199"/>
      <c r="PQB21" s="194"/>
      <c r="PQC21" s="194"/>
      <c r="PQD21" s="194"/>
      <c r="PQE21" s="195"/>
      <c r="PQF21" s="195"/>
      <c r="PQG21" s="196"/>
      <c r="PQH21" s="195"/>
      <c r="PQI21" s="197"/>
      <c r="PQJ21" s="198"/>
      <c r="PQK21" s="199"/>
      <c r="PQL21" s="194"/>
      <c r="PQM21" s="194"/>
      <c r="PQN21" s="194"/>
      <c r="PQO21" s="195"/>
      <c r="PQP21" s="195"/>
      <c r="PQQ21" s="196"/>
      <c r="PQR21" s="195"/>
      <c r="PQS21" s="197"/>
      <c r="PQT21" s="198"/>
      <c r="PQU21" s="199"/>
      <c r="PQV21" s="194"/>
      <c r="PQW21" s="194"/>
      <c r="PQX21" s="194"/>
      <c r="PQY21" s="195"/>
      <c r="PQZ21" s="195"/>
      <c r="PRA21" s="196"/>
      <c r="PRB21" s="195"/>
      <c r="PRC21" s="197"/>
      <c r="PRD21" s="198"/>
      <c r="PRE21" s="199"/>
      <c r="PRF21" s="194"/>
      <c r="PRG21" s="194"/>
      <c r="PRH21" s="194"/>
      <c r="PRI21" s="195"/>
      <c r="PRJ21" s="195"/>
      <c r="PRK21" s="196"/>
      <c r="PRL21" s="195"/>
      <c r="PRM21" s="197"/>
      <c r="PRN21" s="198"/>
      <c r="PRO21" s="199"/>
      <c r="PRP21" s="194"/>
      <c r="PRQ21" s="194"/>
      <c r="PRR21" s="194"/>
      <c r="PRS21" s="195"/>
      <c r="PRT21" s="195"/>
      <c r="PRU21" s="196"/>
      <c r="PRV21" s="195"/>
      <c r="PRW21" s="197"/>
      <c r="PRX21" s="198"/>
      <c r="PRY21" s="199"/>
      <c r="PRZ21" s="194"/>
      <c r="PSA21" s="194"/>
      <c r="PSB21" s="194"/>
      <c r="PSC21" s="195"/>
      <c r="PSD21" s="195"/>
      <c r="PSE21" s="196"/>
      <c r="PSF21" s="195"/>
      <c r="PSG21" s="197"/>
      <c r="PSH21" s="198"/>
      <c r="PSI21" s="199"/>
      <c r="PSJ21" s="194"/>
      <c r="PSK21" s="194"/>
      <c r="PSL21" s="194"/>
      <c r="PSM21" s="195"/>
      <c r="PSN21" s="195"/>
      <c r="PSO21" s="196"/>
      <c r="PSP21" s="195"/>
      <c r="PSQ21" s="197"/>
      <c r="PSR21" s="198"/>
      <c r="PSS21" s="199"/>
      <c r="PST21" s="194"/>
      <c r="PSU21" s="194"/>
      <c r="PSV21" s="194"/>
      <c r="PSW21" s="195"/>
      <c r="PSX21" s="195"/>
      <c r="PSY21" s="196"/>
      <c r="PSZ21" s="195"/>
      <c r="PTA21" s="197"/>
      <c r="PTB21" s="198"/>
      <c r="PTC21" s="199"/>
      <c r="PTD21" s="194"/>
      <c r="PTE21" s="194"/>
      <c r="PTF21" s="194"/>
      <c r="PTG21" s="195"/>
      <c r="PTH21" s="195"/>
      <c r="PTI21" s="196"/>
      <c r="PTJ21" s="195"/>
      <c r="PTK21" s="197"/>
      <c r="PTL21" s="198"/>
      <c r="PTM21" s="199"/>
      <c r="PTN21" s="194"/>
      <c r="PTO21" s="194"/>
      <c r="PTP21" s="194"/>
      <c r="PTQ21" s="195"/>
      <c r="PTR21" s="195"/>
      <c r="PTS21" s="196"/>
      <c r="PTT21" s="195"/>
      <c r="PTU21" s="197"/>
      <c r="PTV21" s="198"/>
      <c r="PTW21" s="199"/>
      <c r="PTX21" s="194"/>
      <c r="PTY21" s="194"/>
      <c r="PTZ21" s="194"/>
      <c r="PUA21" s="195"/>
      <c r="PUB21" s="195"/>
      <c r="PUC21" s="196"/>
      <c r="PUD21" s="195"/>
      <c r="PUE21" s="197"/>
      <c r="PUF21" s="198"/>
      <c r="PUG21" s="199"/>
      <c r="PUH21" s="194"/>
      <c r="PUI21" s="194"/>
      <c r="PUJ21" s="194"/>
      <c r="PUK21" s="195"/>
      <c r="PUL21" s="195"/>
      <c r="PUM21" s="196"/>
      <c r="PUN21" s="195"/>
      <c r="PUO21" s="197"/>
      <c r="PUP21" s="198"/>
      <c r="PUQ21" s="199"/>
      <c r="PUR21" s="194"/>
      <c r="PUS21" s="194"/>
      <c r="PUT21" s="194"/>
      <c r="PUU21" s="195"/>
      <c r="PUV21" s="195"/>
      <c r="PUW21" s="196"/>
      <c r="PUX21" s="195"/>
      <c r="PUY21" s="197"/>
      <c r="PUZ21" s="198"/>
      <c r="PVA21" s="199"/>
      <c r="PVB21" s="194"/>
      <c r="PVC21" s="194"/>
      <c r="PVD21" s="194"/>
      <c r="PVE21" s="195"/>
      <c r="PVF21" s="195"/>
      <c r="PVG21" s="196"/>
      <c r="PVH21" s="195"/>
      <c r="PVI21" s="197"/>
      <c r="PVJ21" s="198"/>
      <c r="PVK21" s="199"/>
      <c r="PVL21" s="194"/>
      <c r="PVM21" s="194"/>
      <c r="PVN21" s="194"/>
      <c r="PVO21" s="195"/>
      <c r="PVP21" s="195"/>
      <c r="PVQ21" s="196"/>
      <c r="PVR21" s="195"/>
      <c r="PVS21" s="197"/>
      <c r="PVT21" s="198"/>
      <c r="PVU21" s="199"/>
      <c r="PVV21" s="194"/>
      <c r="PVW21" s="194"/>
      <c r="PVX21" s="194"/>
      <c r="PVY21" s="195"/>
      <c r="PVZ21" s="195"/>
      <c r="PWA21" s="196"/>
      <c r="PWB21" s="195"/>
      <c r="PWC21" s="197"/>
      <c r="PWD21" s="198"/>
      <c r="PWE21" s="199"/>
      <c r="PWF21" s="194"/>
      <c r="PWG21" s="194"/>
      <c r="PWH21" s="194"/>
      <c r="PWI21" s="195"/>
      <c r="PWJ21" s="195"/>
      <c r="PWK21" s="196"/>
      <c r="PWL21" s="195"/>
      <c r="PWM21" s="197"/>
      <c r="PWN21" s="198"/>
      <c r="PWO21" s="199"/>
      <c r="PWP21" s="194"/>
      <c r="PWQ21" s="194"/>
      <c r="PWR21" s="194"/>
      <c r="PWS21" s="195"/>
      <c r="PWT21" s="195"/>
      <c r="PWU21" s="196"/>
      <c r="PWV21" s="195"/>
      <c r="PWW21" s="197"/>
      <c r="PWX21" s="198"/>
      <c r="PWY21" s="199"/>
      <c r="PWZ21" s="194"/>
      <c r="PXA21" s="194"/>
      <c r="PXB21" s="194"/>
      <c r="PXC21" s="195"/>
      <c r="PXD21" s="195"/>
      <c r="PXE21" s="196"/>
      <c r="PXF21" s="195"/>
      <c r="PXG21" s="197"/>
      <c r="PXH21" s="198"/>
      <c r="PXI21" s="199"/>
      <c r="PXJ21" s="194"/>
      <c r="PXK21" s="194"/>
      <c r="PXL21" s="194"/>
      <c r="PXM21" s="195"/>
      <c r="PXN21" s="195"/>
      <c r="PXO21" s="196"/>
      <c r="PXP21" s="195"/>
      <c r="PXQ21" s="197"/>
      <c r="PXR21" s="198"/>
      <c r="PXS21" s="199"/>
      <c r="PXT21" s="194"/>
      <c r="PXU21" s="194"/>
      <c r="PXV21" s="194"/>
      <c r="PXW21" s="195"/>
      <c r="PXX21" s="195"/>
      <c r="PXY21" s="196"/>
      <c r="PXZ21" s="195"/>
      <c r="PYA21" s="197"/>
      <c r="PYB21" s="198"/>
      <c r="PYC21" s="199"/>
      <c r="PYD21" s="194"/>
      <c r="PYE21" s="194"/>
      <c r="PYF21" s="194"/>
      <c r="PYG21" s="195"/>
      <c r="PYH21" s="195"/>
      <c r="PYI21" s="196"/>
      <c r="PYJ21" s="195"/>
      <c r="PYK21" s="197"/>
      <c r="PYL21" s="198"/>
      <c r="PYM21" s="199"/>
      <c r="PYN21" s="194"/>
      <c r="PYO21" s="194"/>
      <c r="PYP21" s="194"/>
      <c r="PYQ21" s="195"/>
      <c r="PYR21" s="195"/>
      <c r="PYS21" s="196"/>
      <c r="PYT21" s="195"/>
      <c r="PYU21" s="197"/>
      <c r="PYV21" s="198"/>
      <c r="PYW21" s="199"/>
      <c r="PYX21" s="194"/>
      <c r="PYY21" s="194"/>
      <c r="PYZ21" s="194"/>
      <c r="PZA21" s="195"/>
      <c r="PZB21" s="195"/>
      <c r="PZC21" s="196"/>
      <c r="PZD21" s="195"/>
      <c r="PZE21" s="197"/>
      <c r="PZF21" s="198"/>
      <c r="PZG21" s="199"/>
      <c r="PZH21" s="194"/>
      <c r="PZI21" s="194"/>
      <c r="PZJ21" s="194"/>
      <c r="PZK21" s="195"/>
      <c r="PZL21" s="195"/>
      <c r="PZM21" s="196"/>
      <c r="PZN21" s="195"/>
      <c r="PZO21" s="197"/>
      <c r="PZP21" s="198"/>
      <c r="PZQ21" s="199"/>
      <c r="PZR21" s="194"/>
      <c r="PZS21" s="194"/>
      <c r="PZT21" s="194"/>
      <c r="PZU21" s="195"/>
      <c r="PZV21" s="195"/>
      <c r="PZW21" s="196"/>
      <c r="PZX21" s="195"/>
      <c r="PZY21" s="197"/>
      <c r="PZZ21" s="198"/>
      <c r="QAA21" s="199"/>
      <c r="QAB21" s="194"/>
      <c r="QAC21" s="194"/>
      <c r="QAD21" s="194"/>
      <c r="QAE21" s="195"/>
      <c r="QAF21" s="195"/>
      <c r="QAG21" s="196"/>
      <c r="QAH21" s="195"/>
      <c r="QAI21" s="197"/>
      <c r="QAJ21" s="198"/>
      <c r="QAK21" s="199"/>
      <c r="QAL21" s="194"/>
      <c r="QAM21" s="194"/>
      <c r="QAN21" s="194"/>
      <c r="QAO21" s="195"/>
      <c r="QAP21" s="195"/>
      <c r="QAQ21" s="196"/>
      <c r="QAR21" s="195"/>
      <c r="QAS21" s="197"/>
      <c r="QAT21" s="198"/>
      <c r="QAU21" s="199"/>
      <c r="QAV21" s="194"/>
      <c r="QAW21" s="194"/>
      <c r="QAX21" s="194"/>
      <c r="QAY21" s="195"/>
      <c r="QAZ21" s="195"/>
      <c r="QBA21" s="196"/>
      <c r="QBB21" s="195"/>
      <c r="QBC21" s="197"/>
      <c r="QBD21" s="198"/>
      <c r="QBE21" s="199"/>
      <c r="QBF21" s="194"/>
      <c r="QBG21" s="194"/>
      <c r="QBH21" s="194"/>
      <c r="QBI21" s="195"/>
      <c r="QBJ21" s="195"/>
      <c r="QBK21" s="196"/>
      <c r="QBL21" s="195"/>
      <c r="QBM21" s="197"/>
      <c r="QBN21" s="198"/>
      <c r="QBO21" s="199"/>
      <c r="QBP21" s="194"/>
      <c r="QBQ21" s="194"/>
      <c r="QBR21" s="194"/>
      <c r="QBS21" s="195"/>
      <c r="QBT21" s="195"/>
      <c r="QBU21" s="196"/>
      <c r="QBV21" s="195"/>
      <c r="QBW21" s="197"/>
      <c r="QBX21" s="198"/>
      <c r="QBY21" s="199"/>
      <c r="QBZ21" s="194"/>
      <c r="QCA21" s="194"/>
      <c r="QCB21" s="194"/>
      <c r="QCC21" s="195"/>
      <c r="QCD21" s="195"/>
      <c r="QCE21" s="196"/>
      <c r="QCF21" s="195"/>
      <c r="QCG21" s="197"/>
      <c r="QCH21" s="198"/>
      <c r="QCI21" s="199"/>
      <c r="QCJ21" s="194"/>
      <c r="QCK21" s="194"/>
      <c r="QCL21" s="194"/>
      <c r="QCM21" s="195"/>
      <c r="QCN21" s="195"/>
      <c r="QCO21" s="196"/>
      <c r="QCP21" s="195"/>
      <c r="QCQ21" s="197"/>
      <c r="QCR21" s="198"/>
      <c r="QCS21" s="199"/>
      <c r="QCT21" s="194"/>
      <c r="QCU21" s="194"/>
      <c r="QCV21" s="194"/>
      <c r="QCW21" s="195"/>
      <c r="QCX21" s="195"/>
      <c r="QCY21" s="196"/>
      <c r="QCZ21" s="195"/>
      <c r="QDA21" s="197"/>
      <c r="QDB21" s="198"/>
      <c r="QDC21" s="199"/>
      <c r="QDD21" s="194"/>
      <c r="QDE21" s="194"/>
      <c r="QDF21" s="194"/>
      <c r="QDG21" s="195"/>
      <c r="QDH21" s="195"/>
      <c r="QDI21" s="196"/>
      <c r="QDJ21" s="195"/>
      <c r="QDK21" s="197"/>
      <c r="QDL21" s="198"/>
      <c r="QDM21" s="199"/>
      <c r="QDN21" s="194"/>
      <c r="QDO21" s="194"/>
      <c r="QDP21" s="194"/>
      <c r="QDQ21" s="195"/>
      <c r="QDR21" s="195"/>
      <c r="QDS21" s="196"/>
      <c r="QDT21" s="195"/>
      <c r="QDU21" s="197"/>
      <c r="QDV21" s="198"/>
      <c r="QDW21" s="199"/>
      <c r="QDX21" s="194"/>
      <c r="QDY21" s="194"/>
      <c r="QDZ21" s="194"/>
      <c r="QEA21" s="195"/>
      <c r="QEB21" s="195"/>
      <c r="QEC21" s="196"/>
      <c r="QED21" s="195"/>
      <c r="QEE21" s="197"/>
      <c r="QEF21" s="198"/>
      <c r="QEG21" s="199"/>
      <c r="QEH21" s="194"/>
      <c r="QEI21" s="194"/>
      <c r="QEJ21" s="194"/>
      <c r="QEK21" s="195"/>
      <c r="QEL21" s="195"/>
      <c r="QEM21" s="196"/>
      <c r="QEN21" s="195"/>
      <c r="QEO21" s="197"/>
      <c r="QEP21" s="198"/>
      <c r="QEQ21" s="199"/>
      <c r="QER21" s="194"/>
      <c r="QES21" s="194"/>
      <c r="QET21" s="194"/>
      <c r="QEU21" s="195"/>
      <c r="QEV21" s="195"/>
      <c r="QEW21" s="196"/>
      <c r="QEX21" s="195"/>
      <c r="QEY21" s="197"/>
      <c r="QEZ21" s="198"/>
      <c r="QFA21" s="199"/>
      <c r="QFB21" s="194"/>
      <c r="QFC21" s="194"/>
      <c r="QFD21" s="194"/>
      <c r="QFE21" s="195"/>
      <c r="QFF21" s="195"/>
      <c r="QFG21" s="196"/>
      <c r="QFH21" s="195"/>
      <c r="QFI21" s="197"/>
      <c r="QFJ21" s="198"/>
      <c r="QFK21" s="199"/>
      <c r="QFL21" s="194"/>
      <c r="QFM21" s="194"/>
      <c r="QFN21" s="194"/>
      <c r="QFO21" s="195"/>
      <c r="QFP21" s="195"/>
      <c r="QFQ21" s="196"/>
      <c r="QFR21" s="195"/>
      <c r="QFS21" s="197"/>
      <c r="QFT21" s="198"/>
      <c r="QFU21" s="199"/>
      <c r="QFV21" s="194"/>
      <c r="QFW21" s="194"/>
      <c r="QFX21" s="194"/>
      <c r="QFY21" s="195"/>
      <c r="QFZ21" s="195"/>
      <c r="QGA21" s="196"/>
      <c r="QGB21" s="195"/>
      <c r="QGC21" s="197"/>
      <c r="QGD21" s="198"/>
      <c r="QGE21" s="199"/>
      <c r="QGF21" s="194"/>
      <c r="QGG21" s="194"/>
      <c r="QGH21" s="194"/>
      <c r="QGI21" s="195"/>
      <c r="QGJ21" s="195"/>
      <c r="QGK21" s="196"/>
      <c r="QGL21" s="195"/>
      <c r="QGM21" s="197"/>
      <c r="QGN21" s="198"/>
      <c r="QGO21" s="199"/>
      <c r="QGP21" s="194"/>
      <c r="QGQ21" s="194"/>
      <c r="QGR21" s="194"/>
      <c r="QGS21" s="195"/>
      <c r="QGT21" s="195"/>
      <c r="QGU21" s="196"/>
      <c r="QGV21" s="195"/>
      <c r="QGW21" s="197"/>
      <c r="QGX21" s="198"/>
      <c r="QGY21" s="199"/>
      <c r="QGZ21" s="194"/>
      <c r="QHA21" s="194"/>
      <c r="QHB21" s="194"/>
      <c r="QHC21" s="195"/>
      <c r="QHD21" s="195"/>
      <c r="QHE21" s="196"/>
      <c r="QHF21" s="195"/>
      <c r="QHG21" s="197"/>
      <c r="QHH21" s="198"/>
      <c r="QHI21" s="199"/>
      <c r="QHJ21" s="194"/>
      <c r="QHK21" s="194"/>
      <c r="QHL21" s="194"/>
      <c r="QHM21" s="195"/>
      <c r="QHN21" s="195"/>
      <c r="QHO21" s="196"/>
      <c r="QHP21" s="195"/>
      <c r="QHQ21" s="197"/>
      <c r="QHR21" s="198"/>
      <c r="QHS21" s="199"/>
      <c r="QHT21" s="194"/>
      <c r="QHU21" s="194"/>
      <c r="QHV21" s="194"/>
      <c r="QHW21" s="195"/>
      <c r="QHX21" s="195"/>
      <c r="QHY21" s="196"/>
      <c r="QHZ21" s="195"/>
      <c r="QIA21" s="197"/>
      <c r="QIB21" s="198"/>
      <c r="QIC21" s="199"/>
      <c r="QID21" s="194"/>
      <c r="QIE21" s="194"/>
      <c r="QIF21" s="194"/>
      <c r="QIG21" s="195"/>
      <c r="QIH21" s="195"/>
      <c r="QII21" s="196"/>
      <c r="QIJ21" s="195"/>
      <c r="QIK21" s="197"/>
      <c r="QIL21" s="198"/>
      <c r="QIM21" s="199"/>
      <c r="QIN21" s="194"/>
      <c r="QIO21" s="194"/>
      <c r="QIP21" s="194"/>
      <c r="QIQ21" s="195"/>
      <c r="QIR21" s="195"/>
      <c r="QIS21" s="196"/>
      <c r="QIT21" s="195"/>
      <c r="QIU21" s="197"/>
      <c r="QIV21" s="198"/>
      <c r="QIW21" s="199"/>
      <c r="QIX21" s="194"/>
      <c r="QIY21" s="194"/>
      <c r="QIZ21" s="194"/>
      <c r="QJA21" s="195"/>
      <c r="QJB21" s="195"/>
      <c r="QJC21" s="196"/>
      <c r="QJD21" s="195"/>
      <c r="QJE21" s="197"/>
      <c r="QJF21" s="198"/>
      <c r="QJG21" s="199"/>
      <c r="QJH21" s="194"/>
      <c r="QJI21" s="194"/>
      <c r="QJJ21" s="194"/>
      <c r="QJK21" s="195"/>
      <c r="QJL21" s="195"/>
      <c r="QJM21" s="196"/>
      <c r="QJN21" s="195"/>
      <c r="QJO21" s="197"/>
      <c r="QJP21" s="198"/>
      <c r="QJQ21" s="199"/>
      <c r="QJR21" s="194"/>
      <c r="QJS21" s="194"/>
      <c r="QJT21" s="194"/>
      <c r="QJU21" s="195"/>
      <c r="QJV21" s="195"/>
      <c r="QJW21" s="196"/>
      <c r="QJX21" s="195"/>
      <c r="QJY21" s="197"/>
      <c r="QJZ21" s="198"/>
      <c r="QKA21" s="199"/>
      <c r="QKB21" s="194"/>
      <c r="QKC21" s="194"/>
      <c r="QKD21" s="194"/>
      <c r="QKE21" s="195"/>
      <c r="QKF21" s="195"/>
      <c r="QKG21" s="196"/>
      <c r="QKH21" s="195"/>
      <c r="QKI21" s="197"/>
      <c r="QKJ21" s="198"/>
      <c r="QKK21" s="199"/>
      <c r="QKL21" s="194"/>
      <c r="QKM21" s="194"/>
      <c r="QKN21" s="194"/>
      <c r="QKO21" s="195"/>
      <c r="QKP21" s="195"/>
      <c r="QKQ21" s="196"/>
      <c r="QKR21" s="195"/>
      <c r="QKS21" s="197"/>
      <c r="QKT21" s="198"/>
      <c r="QKU21" s="199"/>
      <c r="QKV21" s="194"/>
      <c r="QKW21" s="194"/>
      <c r="QKX21" s="194"/>
      <c r="QKY21" s="195"/>
      <c r="QKZ21" s="195"/>
      <c r="QLA21" s="196"/>
      <c r="QLB21" s="195"/>
      <c r="QLC21" s="197"/>
      <c r="QLD21" s="198"/>
      <c r="QLE21" s="199"/>
      <c r="QLF21" s="194"/>
      <c r="QLG21" s="194"/>
      <c r="QLH21" s="194"/>
      <c r="QLI21" s="195"/>
      <c r="QLJ21" s="195"/>
      <c r="QLK21" s="196"/>
      <c r="QLL21" s="195"/>
      <c r="QLM21" s="197"/>
      <c r="QLN21" s="198"/>
      <c r="QLO21" s="199"/>
      <c r="QLP21" s="194"/>
      <c r="QLQ21" s="194"/>
      <c r="QLR21" s="194"/>
      <c r="QLS21" s="195"/>
      <c r="QLT21" s="195"/>
      <c r="QLU21" s="196"/>
      <c r="QLV21" s="195"/>
      <c r="QLW21" s="197"/>
      <c r="QLX21" s="198"/>
      <c r="QLY21" s="199"/>
      <c r="QLZ21" s="194"/>
      <c r="QMA21" s="194"/>
      <c r="QMB21" s="194"/>
      <c r="QMC21" s="195"/>
      <c r="QMD21" s="195"/>
      <c r="QME21" s="196"/>
      <c r="QMF21" s="195"/>
      <c r="QMG21" s="197"/>
      <c r="QMH21" s="198"/>
      <c r="QMI21" s="199"/>
      <c r="QMJ21" s="194"/>
      <c r="QMK21" s="194"/>
      <c r="QML21" s="194"/>
      <c r="QMM21" s="195"/>
      <c r="QMN21" s="195"/>
      <c r="QMO21" s="196"/>
      <c r="QMP21" s="195"/>
      <c r="QMQ21" s="197"/>
      <c r="QMR21" s="198"/>
      <c r="QMS21" s="199"/>
      <c r="QMT21" s="194"/>
      <c r="QMU21" s="194"/>
      <c r="QMV21" s="194"/>
      <c r="QMW21" s="195"/>
      <c r="QMX21" s="195"/>
      <c r="QMY21" s="196"/>
      <c r="QMZ21" s="195"/>
      <c r="QNA21" s="197"/>
      <c r="QNB21" s="198"/>
      <c r="QNC21" s="199"/>
      <c r="QND21" s="194"/>
      <c r="QNE21" s="194"/>
      <c r="QNF21" s="194"/>
      <c r="QNG21" s="195"/>
      <c r="QNH21" s="195"/>
      <c r="QNI21" s="196"/>
      <c r="QNJ21" s="195"/>
      <c r="QNK21" s="197"/>
      <c r="QNL21" s="198"/>
      <c r="QNM21" s="199"/>
      <c r="QNN21" s="194"/>
      <c r="QNO21" s="194"/>
      <c r="QNP21" s="194"/>
      <c r="QNQ21" s="195"/>
      <c r="QNR21" s="195"/>
      <c r="QNS21" s="196"/>
      <c r="QNT21" s="195"/>
      <c r="QNU21" s="197"/>
      <c r="QNV21" s="198"/>
      <c r="QNW21" s="199"/>
      <c r="QNX21" s="194"/>
      <c r="QNY21" s="194"/>
      <c r="QNZ21" s="194"/>
      <c r="QOA21" s="195"/>
      <c r="QOB21" s="195"/>
      <c r="QOC21" s="196"/>
      <c r="QOD21" s="195"/>
      <c r="QOE21" s="197"/>
      <c r="QOF21" s="198"/>
      <c r="QOG21" s="199"/>
      <c r="QOH21" s="194"/>
      <c r="QOI21" s="194"/>
      <c r="QOJ21" s="194"/>
      <c r="QOK21" s="195"/>
      <c r="QOL21" s="195"/>
      <c r="QOM21" s="196"/>
      <c r="QON21" s="195"/>
      <c r="QOO21" s="197"/>
      <c r="QOP21" s="198"/>
      <c r="QOQ21" s="199"/>
      <c r="QOR21" s="194"/>
      <c r="QOS21" s="194"/>
      <c r="QOT21" s="194"/>
      <c r="QOU21" s="195"/>
      <c r="QOV21" s="195"/>
      <c r="QOW21" s="196"/>
      <c r="QOX21" s="195"/>
      <c r="QOY21" s="197"/>
      <c r="QOZ21" s="198"/>
      <c r="QPA21" s="199"/>
      <c r="QPB21" s="194"/>
      <c r="QPC21" s="194"/>
      <c r="QPD21" s="194"/>
      <c r="QPE21" s="195"/>
      <c r="QPF21" s="195"/>
      <c r="QPG21" s="196"/>
      <c r="QPH21" s="195"/>
      <c r="QPI21" s="197"/>
      <c r="QPJ21" s="198"/>
      <c r="QPK21" s="199"/>
      <c r="QPL21" s="194"/>
      <c r="QPM21" s="194"/>
      <c r="QPN21" s="194"/>
      <c r="QPO21" s="195"/>
      <c r="QPP21" s="195"/>
      <c r="QPQ21" s="196"/>
      <c r="QPR21" s="195"/>
      <c r="QPS21" s="197"/>
      <c r="QPT21" s="198"/>
      <c r="QPU21" s="199"/>
      <c r="QPV21" s="194"/>
      <c r="QPW21" s="194"/>
      <c r="QPX21" s="194"/>
      <c r="QPY21" s="195"/>
      <c r="QPZ21" s="195"/>
      <c r="QQA21" s="196"/>
      <c r="QQB21" s="195"/>
      <c r="QQC21" s="197"/>
      <c r="QQD21" s="198"/>
      <c r="QQE21" s="199"/>
      <c r="QQF21" s="194"/>
      <c r="QQG21" s="194"/>
      <c r="QQH21" s="194"/>
      <c r="QQI21" s="195"/>
      <c r="QQJ21" s="195"/>
      <c r="QQK21" s="196"/>
      <c r="QQL21" s="195"/>
      <c r="QQM21" s="197"/>
      <c r="QQN21" s="198"/>
      <c r="QQO21" s="199"/>
      <c r="QQP21" s="194"/>
      <c r="QQQ21" s="194"/>
      <c r="QQR21" s="194"/>
      <c r="QQS21" s="195"/>
      <c r="QQT21" s="195"/>
      <c r="QQU21" s="196"/>
      <c r="QQV21" s="195"/>
      <c r="QQW21" s="197"/>
      <c r="QQX21" s="198"/>
      <c r="QQY21" s="199"/>
      <c r="QQZ21" s="194"/>
      <c r="QRA21" s="194"/>
      <c r="QRB21" s="194"/>
      <c r="QRC21" s="195"/>
      <c r="QRD21" s="195"/>
      <c r="QRE21" s="196"/>
      <c r="QRF21" s="195"/>
      <c r="QRG21" s="197"/>
      <c r="QRH21" s="198"/>
      <c r="QRI21" s="199"/>
      <c r="QRJ21" s="194"/>
      <c r="QRK21" s="194"/>
      <c r="QRL21" s="194"/>
      <c r="QRM21" s="195"/>
      <c r="QRN21" s="195"/>
      <c r="QRO21" s="196"/>
      <c r="QRP21" s="195"/>
      <c r="QRQ21" s="197"/>
      <c r="QRR21" s="198"/>
      <c r="QRS21" s="199"/>
      <c r="QRT21" s="194"/>
      <c r="QRU21" s="194"/>
      <c r="QRV21" s="194"/>
      <c r="QRW21" s="195"/>
      <c r="QRX21" s="195"/>
      <c r="QRY21" s="196"/>
      <c r="QRZ21" s="195"/>
      <c r="QSA21" s="197"/>
      <c r="QSB21" s="198"/>
      <c r="QSC21" s="199"/>
      <c r="QSD21" s="194"/>
      <c r="QSE21" s="194"/>
      <c r="QSF21" s="194"/>
      <c r="QSG21" s="195"/>
      <c r="QSH21" s="195"/>
      <c r="QSI21" s="196"/>
      <c r="QSJ21" s="195"/>
      <c r="QSK21" s="197"/>
      <c r="QSL21" s="198"/>
      <c r="QSM21" s="199"/>
      <c r="QSN21" s="194"/>
      <c r="QSO21" s="194"/>
      <c r="QSP21" s="194"/>
      <c r="QSQ21" s="195"/>
      <c r="QSR21" s="195"/>
      <c r="QSS21" s="196"/>
      <c r="QST21" s="195"/>
      <c r="QSU21" s="197"/>
      <c r="QSV21" s="198"/>
      <c r="QSW21" s="199"/>
      <c r="QSX21" s="194"/>
      <c r="QSY21" s="194"/>
      <c r="QSZ21" s="194"/>
      <c r="QTA21" s="195"/>
      <c r="QTB21" s="195"/>
      <c r="QTC21" s="196"/>
      <c r="QTD21" s="195"/>
      <c r="QTE21" s="197"/>
      <c r="QTF21" s="198"/>
      <c r="QTG21" s="199"/>
      <c r="QTH21" s="194"/>
      <c r="QTI21" s="194"/>
      <c r="QTJ21" s="194"/>
      <c r="QTK21" s="195"/>
      <c r="QTL21" s="195"/>
      <c r="QTM21" s="196"/>
      <c r="QTN21" s="195"/>
      <c r="QTO21" s="197"/>
      <c r="QTP21" s="198"/>
      <c r="QTQ21" s="199"/>
      <c r="QTR21" s="194"/>
      <c r="QTS21" s="194"/>
      <c r="QTT21" s="194"/>
      <c r="QTU21" s="195"/>
      <c r="QTV21" s="195"/>
      <c r="QTW21" s="196"/>
      <c r="QTX21" s="195"/>
      <c r="QTY21" s="197"/>
      <c r="QTZ21" s="198"/>
      <c r="QUA21" s="199"/>
      <c r="QUB21" s="194"/>
      <c r="QUC21" s="194"/>
      <c r="QUD21" s="194"/>
      <c r="QUE21" s="195"/>
      <c r="QUF21" s="195"/>
      <c r="QUG21" s="196"/>
      <c r="QUH21" s="195"/>
      <c r="QUI21" s="197"/>
      <c r="QUJ21" s="198"/>
      <c r="QUK21" s="199"/>
      <c r="QUL21" s="194"/>
      <c r="QUM21" s="194"/>
      <c r="QUN21" s="194"/>
      <c r="QUO21" s="195"/>
      <c r="QUP21" s="195"/>
      <c r="QUQ21" s="196"/>
      <c r="QUR21" s="195"/>
      <c r="QUS21" s="197"/>
      <c r="QUT21" s="198"/>
      <c r="QUU21" s="199"/>
      <c r="QUV21" s="194"/>
      <c r="QUW21" s="194"/>
      <c r="QUX21" s="194"/>
      <c r="QUY21" s="195"/>
      <c r="QUZ21" s="195"/>
      <c r="QVA21" s="196"/>
      <c r="QVB21" s="195"/>
      <c r="QVC21" s="197"/>
      <c r="QVD21" s="198"/>
      <c r="QVE21" s="199"/>
      <c r="QVF21" s="194"/>
      <c r="QVG21" s="194"/>
      <c r="QVH21" s="194"/>
      <c r="QVI21" s="195"/>
      <c r="QVJ21" s="195"/>
      <c r="QVK21" s="196"/>
      <c r="QVL21" s="195"/>
      <c r="QVM21" s="197"/>
      <c r="QVN21" s="198"/>
      <c r="QVO21" s="199"/>
      <c r="QVP21" s="194"/>
      <c r="QVQ21" s="194"/>
      <c r="QVR21" s="194"/>
      <c r="QVS21" s="195"/>
      <c r="QVT21" s="195"/>
      <c r="QVU21" s="196"/>
      <c r="QVV21" s="195"/>
      <c r="QVW21" s="197"/>
      <c r="QVX21" s="198"/>
      <c r="QVY21" s="199"/>
      <c r="QVZ21" s="194"/>
      <c r="QWA21" s="194"/>
      <c r="QWB21" s="194"/>
      <c r="QWC21" s="195"/>
      <c r="QWD21" s="195"/>
      <c r="QWE21" s="196"/>
      <c r="QWF21" s="195"/>
      <c r="QWG21" s="197"/>
      <c r="QWH21" s="198"/>
      <c r="QWI21" s="199"/>
      <c r="QWJ21" s="194"/>
      <c r="QWK21" s="194"/>
      <c r="QWL21" s="194"/>
      <c r="QWM21" s="195"/>
      <c r="QWN21" s="195"/>
      <c r="QWO21" s="196"/>
      <c r="QWP21" s="195"/>
      <c r="QWQ21" s="197"/>
      <c r="QWR21" s="198"/>
      <c r="QWS21" s="199"/>
      <c r="QWT21" s="194"/>
      <c r="QWU21" s="194"/>
      <c r="QWV21" s="194"/>
      <c r="QWW21" s="195"/>
      <c r="QWX21" s="195"/>
      <c r="QWY21" s="196"/>
      <c r="QWZ21" s="195"/>
      <c r="QXA21" s="197"/>
      <c r="QXB21" s="198"/>
      <c r="QXC21" s="199"/>
      <c r="QXD21" s="194"/>
      <c r="QXE21" s="194"/>
      <c r="QXF21" s="194"/>
      <c r="QXG21" s="195"/>
      <c r="QXH21" s="195"/>
      <c r="QXI21" s="196"/>
      <c r="QXJ21" s="195"/>
      <c r="QXK21" s="197"/>
      <c r="QXL21" s="198"/>
      <c r="QXM21" s="199"/>
      <c r="QXN21" s="194"/>
      <c r="QXO21" s="194"/>
      <c r="QXP21" s="194"/>
      <c r="QXQ21" s="195"/>
      <c r="QXR21" s="195"/>
      <c r="QXS21" s="196"/>
      <c r="QXT21" s="195"/>
      <c r="QXU21" s="197"/>
      <c r="QXV21" s="198"/>
      <c r="QXW21" s="199"/>
      <c r="QXX21" s="194"/>
      <c r="QXY21" s="194"/>
      <c r="QXZ21" s="194"/>
      <c r="QYA21" s="195"/>
      <c r="QYB21" s="195"/>
      <c r="QYC21" s="196"/>
      <c r="QYD21" s="195"/>
      <c r="QYE21" s="197"/>
      <c r="QYF21" s="198"/>
      <c r="QYG21" s="199"/>
      <c r="QYH21" s="194"/>
      <c r="QYI21" s="194"/>
      <c r="QYJ21" s="194"/>
      <c r="QYK21" s="195"/>
      <c r="QYL21" s="195"/>
      <c r="QYM21" s="196"/>
      <c r="QYN21" s="195"/>
      <c r="QYO21" s="197"/>
      <c r="QYP21" s="198"/>
      <c r="QYQ21" s="199"/>
      <c r="QYR21" s="194"/>
      <c r="QYS21" s="194"/>
      <c r="QYT21" s="194"/>
      <c r="QYU21" s="195"/>
      <c r="QYV21" s="195"/>
      <c r="QYW21" s="196"/>
      <c r="QYX21" s="195"/>
      <c r="QYY21" s="197"/>
      <c r="QYZ21" s="198"/>
      <c r="QZA21" s="199"/>
      <c r="QZB21" s="194"/>
      <c r="QZC21" s="194"/>
      <c r="QZD21" s="194"/>
      <c r="QZE21" s="195"/>
      <c r="QZF21" s="195"/>
      <c r="QZG21" s="196"/>
      <c r="QZH21" s="195"/>
      <c r="QZI21" s="197"/>
      <c r="QZJ21" s="198"/>
      <c r="QZK21" s="199"/>
      <c r="QZL21" s="194"/>
      <c r="QZM21" s="194"/>
      <c r="QZN21" s="194"/>
      <c r="QZO21" s="195"/>
      <c r="QZP21" s="195"/>
      <c r="QZQ21" s="196"/>
      <c r="QZR21" s="195"/>
      <c r="QZS21" s="197"/>
      <c r="QZT21" s="198"/>
      <c r="QZU21" s="199"/>
      <c r="QZV21" s="194"/>
      <c r="QZW21" s="194"/>
      <c r="QZX21" s="194"/>
      <c r="QZY21" s="195"/>
      <c r="QZZ21" s="195"/>
      <c r="RAA21" s="196"/>
      <c r="RAB21" s="195"/>
      <c r="RAC21" s="197"/>
      <c r="RAD21" s="198"/>
      <c r="RAE21" s="199"/>
      <c r="RAF21" s="194"/>
      <c r="RAG21" s="194"/>
      <c r="RAH21" s="194"/>
      <c r="RAI21" s="195"/>
      <c r="RAJ21" s="195"/>
      <c r="RAK21" s="196"/>
      <c r="RAL21" s="195"/>
      <c r="RAM21" s="197"/>
      <c r="RAN21" s="198"/>
      <c r="RAO21" s="199"/>
      <c r="RAP21" s="194"/>
      <c r="RAQ21" s="194"/>
      <c r="RAR21" s="194"/>
      <c r="RAS21" s="195"/>
      <c r="RAT21" s="195"/>
      <c r="RAU21" s="196"/>
      <c r="RAV21" s="195"/>
      <c r="RAW21" s="197"/>
      <c r="RAX21" s="198"/>
      <c r="RAY21" s="199"/>
      <c r="RAZ21" s="194"/>
      <c r="RBA21" s="194"/>
      <c r="RBB21" s="194"/>
      <c r="RBC21" s="195"/>
      <c r="RBD21" s="195"/>
      <c r="RBE21" s="196"/>
      <c r="RBF21" s="195"/>
      <c r="RBG21" s="197"/>
      <c r="RBH21" s="198"/>
      <c r="RBI21" s="199"/>
      <c r="RBJ21" s="194"/>
      <c r="RBK21" s="194"/>
      <c r="RBL21" s="194"/>
      <c r="RBM21" s="195"/>
      <c r="RBN21" s="195"/>
      <c r="RBO21" s="196"/>
      <c r="RBP21" s="195"/>
      <c r="RBQ21" s="197"/>
      <c r="RBR21" s="198"/>
      <c r="RBS21" s="199"/>
      <c r="RBT21" s="194"/>
      <c r="RBU21" s="194"/>
      <c r="RBV21" s="194"/>
      <c r="RBW21" s="195"/>
      <c r="RBX21" s="195"/>
      <c r="RBY21" s="196"/>
      <c r="RBZ21" s="195"/>
      <c r="RCA21" s="197"/>
      <c r="RCB21" s="198"/>
      <c r="RCC21" s="199"/>
      <c r="RCD21" s="194"/>
      <c r="RCE21" s="194"/>
      <c r="RCF21" s="194"/>
      <c r="RCG21" s="195"/>
      <c r="RCH21" s="195"/>
      <c r="RCI21" s="196"/>
      <c r="RCJ21" s="195"/>
      <c r="RCK21" s="197"/>
      <c r="RCL21" s="198"/>
      <c r="RCM21" s="199"/>
      <c r="RCN21" s="194"/>
      <c r="RCO21" s="194"/>
      <c r="RCP21" s="194"/>
      <c r="RCQ21" s="195"/>
      <c r="RCR21" s="195"/>
      <c r="RCS21" s="196"/>
      <c r="RCT21" s="195"/>
      <c r="RCU21" s="197"/>
      <c r="RCV21" s="198"/>
      <c r="RCW21" s="199"/>
      <c r="RCX21" s="194"/>
      <c r="RCY21" s="194"/>
      <c r="RCZ21" s="194"/>
      <c r="RDA21" s="195"/>
      <c r="RDB21" s="195"/>
      <c r="RDC21" s="196"/>
      <c r="RDD21" s="195"/>
      <c r="RDE21" s="197"/>
      <c r="RDF21" s="198"/>
      <c r="RDG21" s="199"/>
      <c r="RDH21" s="194"/>
      <c r="RDI21" s="194"/>
      <c r="RDJ21" s="194"/>
      <c r="RDK21" s="195"/>
      <c r="RDL21" s="195"/>
      <c r="RDM21" s="196"/>
      <c r="RDN21" s="195"/>
      <c r="RDO21" s="197"/>
      <c r="RDP21" s="198"/>
      <c r="RDQ21" s="199"/>
      <c r="RDR21" s="194"/>
      <c r="RDS21" s="194"/>
      <c r="RDT21" s="194"/>
      <c r="RDU21" s="195"/>
      <c r="RDV21" s="195"/>
      <c r="RDW21" s="196"/>
      <c r="RDX21" s="195"/>
      <c r="RDY21" s="197"/>
      <c r="RDZ21" s="198"/>
      <c r="REA21" s="199"/>
      <c r="REB21" s="194"/>
      <c r="REC21" s="194"/>
      <c r="RED21" s="194"/>
      <c r="REE21" s="195"/>
      <c r="REF21" s="195"/>
      <c r="REG21" s="196"/>
      <c r="REH21" s="195"/>
      <c r="REI21" s="197"/>
      <c r="REJ21" s="198"/>
      <c r="REK21" s="199"/>
      <c r="REL21" s="194"/>
      <c r="REM21" s="194"/>
      <c r="REN21" s="194"/>
      <c r="REO21" s="195"/>
      <c r="REP21" s="195"/>
      <c r="REQ21" s="196"/>
      <c r="RER21" s="195"/>
      <c r="RES21" s="197"/>
      <c r="RET21" s="198"/>
      <c r="REU21" s="199"/>
      <c r="REV21" s="194"/>
      <c r="REW21" s="194"/>
      <c r="REX21" s="194"/>
      <c r="REY21" s="195"/>
      <c r="REZ21" s="195"/>
      <c r="RFA21" s="196"/>
      <c r="RFB21" s="195"/>
      <c r="RFC21" s="197"/>
      <c r="RFD21" s="198"/>
      <c r="RFE21" s="199"/>
      <c r="RFF21" s="194"/>
      <c r="RFG21" s="194"/>
      <c r="RFH21" s="194"/>
      <c r="RFI21" s="195"/>
      <c r="RFJ21" s="195"/>
      <c r="RFK21" s="196"/>
      <c r="RFL21" s="195"/>
      <c r="RFM21" s="197"/>
      <c r="RFN21" s="198"/>
      <c r="RFO21" s="199"/>
      <c r="RFP21" s="194"/>
      <c r="RFQ21" s="194"/>
      <c r="RFR21" s="194"/>
      <c r="RFS21" s="195"/>
      <c r="RFT21" s="195"/>
      <c r="RFU21" s="196"/>
      <c r="RFV21" s="195"/>
      <c r="RFW21" s="197"/>
      <c r="RFX21" s="198"/>
      <c r="RFY21" s="199"/>
      <c r="RFZ21" s="194"/>
      <c r="RGA21" s="194"/>
      <c r="RGB21" s="194"/>
      <c r="RGC21" s="195"/>
      <c r="RGD21" s="195"/>
      <c r="RGE21" s="196"/>
      <c r="RGF21" s="195"/>
      <c r="RGG21" s="197"/>
      <c r="RGH21" s="198"/>
      <c r="RGI21" s="199"/>
      <c r="RGJ21" s="194"/>
      <c r="RGK21" s="194"/>
      <c r="RGL21" s="194"/>
      <c r="RGM21" s="195"/>
      <c r="RGN21" s="195"/>
      <c r="RGO21" s="196"/>
      <c r="RGP21" s="195"/>
      <c r="RGQ21" s="197"/>
      <c r="RGR21" s="198"/>
      <c r="RGS21" s="199"/>
      <c r="RGT21" s="194"/>
      <c r="RGU21" s="194"/>
      <c r="RGV21" s="194"/>
      <c r="RGW21" s="195"/>
      <c r="RGX21" s="195"/>
      <c r="RGY21" s="196"/>
      <c r="RGZ21" s="195"/>
      <c r="RHA21" s="197"/>
      <c r="RHB21" s="198"/>
      <c r="RHC21" s="199"/>
      <c r="RHD21" s="194"/>
      <c r="RHE21" s="194"/>
      <c r="RHF21" s="194"/>
      <c r="RHG21" s="195"/>
      <c r="RHH21" s="195"/>
      <c r="RHI21" s="196"/>
      <c r="RHJ21" s="195"/>
      <c r="RHK21" s="197"/>
      <c r="RHL21" s="198"/>
      <c r="RHM21" s="199"/>
      <c r="RHN21" s="194"/>
      <c r="RHO21" s="194"/>
      <c r="RHP21" s="194"/>
      <c r="RHQ21" s="195"/>
      <c r="RHR21" s="195"/>
      <c r="RHS21" s="196"/>
      <c r="RHT21" s="195"/>
      <c r="RHU21" s="197"/>
      <c r="RHV21" s="198"/>
      <c r="RHW21" s="199"/>
      <c r="RHX21" s="194"/>
      <c r="RHY21" s="194"/>
      <c r="RHZ21" s="194"/>
      <c r="RIA21" s="195"/>
      <c r="RIB21" s="195"/>
      <c r="RIC21" s="196"/>
      <c r="RID21" s="195"/>
      <c r="RIE21" s="197"/>
      <c r="RIF21" s="198"/>
      <c r="RIG21" s="199"/>
      <c r="RIH21" s="194"/>
      <c r="RII21" s="194"/>
      <c r="RIJ21" s="194"/>
      <c r="RIK21" s="195"/>
      <c r="RIL21" s="195"/>
      <c r="RIM21" s="196"/>
      <c r="RIN21" s="195"/>
      <c r="RIO21" s="197"/>
      <c r="RIP21" s="198"/>
      <c r="RIQ21" s="199"/>
      <c r="RIR21" s="194"/>
      <c r="RIS21" s="194"/>
      <c r="RIT21" s="194"/>
      <c r="RIU21" s="195"/>
      <c r="RIV21" s="195"/>
      <c r="RIW21" s="196"/>
      <c r="RIX21" s="195"/>
      <c r="RIY21" s="197"/>
      <c r="RIZ21" s="198"/>
      <c r="RJA21" s="199"/>
      <c r="RJB21" s="194"/>
      <c r="RJC21" s="194"/>
      <c r="RJD21" s="194"/>
      <c r="RJE21" s="195"/>
      <c r="RJF21" s="195"/>
      <c r="RJG21" s="196"/>
      <c r="RJH21" s="195"/>
      <c r="RJI21" s="197"/>
      <c r="RJJ21" s="198"/>
      <c r="RJK21" s="199"/>
      <c r="RJL21" s="194"/>
      <c r="RJM21" s="194"/>
      <c r="RJN21" s="194"/>
      <c r="RJO21" s="195"/>
      <c r="RJP21" s="195"/>
      <c r="RJQ21" s="196"/>
      <c r="RJR21" s="195"/>
      <c r="RJS21" s="197"/>
      <c r="RJT21" s="198"/>
      <c r="RJU21" s="199"/>
      <c r="RJV21" s="194"/>
      <c r="RJW21" s="194"/>
      <c r="RJX21" s="194"/>
      <c r="RJY21" s="195"/>
      <c r="RJZ21" s="195"/>
      <c r="RKA21" s="196"/>
      <c r="RKB21" s="195"/>
      <c r="RKC21" s="197"/>
      <c r="RKD21" s="198"/>
      <c r="RKE21" s="199"/>
      <c r="RKF21" s="194"/>
      <c r="RKG21" s="194"/>
      <c r="RKH21" s="194"/>
      <c r="RKI21" s="195"/>
      <c r="RKJ21" s="195"/>
      <c r="RKK21" s="196"/>
      <c r="RKL21" s="195"/>
      <c r="RKM21" s="197"/>
      <c r="RKN21" s="198"/>
      <c r="RKO21" s="199"/>
      <c r="RKP21" s="194"/>
      <c r="RKQ21" s="194"/>
      <c r="RKR21" s="194"/>
      <c r="RKS21" s="195"/>
      <c r="RKT21" s="195"/>
      <c r="RKU21" s="196"/>
      <c r="RKV21" s="195"/>
      <c r="RKW21" s="197"/>
      <c r="RKX21" s="198"/>
      <c r="RKY21" s="199"/>
      <c r="RKZ21" s="194"/>
      <c r="RLA21" s="194"/>
      <c r="RLB21" s="194"/>
      <c r="RLC21" s="195"/>
      <c r="RLD21" s="195"/>
      <c r="RLE21" s="196"/>
      <c r="RLF21" s="195"/>
      <c r="RLG21" s="197"/>
      <c r="RLH21" s="198"/>
      <c r="RLI21" s="199"/>
      <c r="RLJ21" s="194"/>
      <c r="RLK21" s="194"/>
      <c r="RLL21" s="194"/>
      <c r="RLM21" s="195"/>
      <c r="RLN21" s="195"/>
      <c r="RLO21" s="196"/>
      <c r="RLP21" s="195"/>
      <c r="RLQ21" s="197"/>
      <c r="RLR21" s="198"/>
      <c r="RLS21" s="199"/>
      <c r="RLT21" s="194"/>
      <c r="RLU21" s="194"/>
      <c r="RLV21" s="194"/>
      <c r="RLW21" s="195"/>
      <c r="RLX21" s="195"/>
      <c r="RLY21" s="196"/>
      <c r="RLZ21" s="195"/>
      <c r="RMA21" s="197"/>
      <c r="RMB21" s="198"/>
      <c r="RMC21" s="199"/>
      <c r="RMD21" s="194"/>
      <c r="RME21" s="194"/>
      <c r="RMF21" s="194"/>
      <c r="RMG21" s="195"/>
      <c r="RMH21" s="195"/>
      <c r="RMI21" s="196"/>
      <c r="RMJ21" s="195"/>
      <c r="RMK21" s="197"/>
      <c r="RML21" s="198"/>
      <c r="RMM21" s="199"/>
      <c r="RMN21" s="194"/>
      <c r="RMO21" s="194"/>
      <c r="RMP21" s="194"/>
      <c r="RMQ21" s="195"/>
      <c r="RMR21" s="195"/>
      <c r="RMS21" s="196"/>
      <c r="RMT21" s="195"/>
      <c r="RMU21" s="197"/>
      <c r="RMV21" s="198"/>
      <c r="RMW21" s="199"/>
      <c r="RMX21" s="194"/>
      <c r="RMY21" s="194"/>
      <c r="RMZ21" s="194"/>
      <c r="RNA21" s="195"/>
      <c r="RNB21" s="195"/>
      <c r="RNC21" s="196"/>
      <c r="RND21" s="195"/>
      <c r="RNE21" s="197"/>
      <c r="RNF21" s="198"/>
      <c r="RNG21" s="199"/>
      <c r="RNH21" s="194"/>
      <c r="RNI21" s="194"/>
      <c r="RNJ21" s="194"/>
      <c r="RNK21" s="195"/>
      <c r="RNL21" s="195"/>
      <c r="RNM21" s="196"/>
      <c r="RNN21" s="195"/>
      <c r="RNO21" s="197"/>
      <c r="RNP21" s="198"/>
      <c r="RNQ21" s="199"/>
      <c r="RNR21" s="194"/>
      <c r="RNS21" s="194"/>
      <c r="RNT21" s="194"/>
      <c r="RNU21" s="195"/>
      <c r="RNV21" s="195"/>
      <c r="RNW21" s="196"/>
      <c r="RNX21" s="195"/>
      <c r="RNY21" s="197"/>
      <c r="RNZ21" s="198"/>
      <c r="ROA21" s="199"/>
      <c r="ROB21" s="194"/>
      <c r="ROC21" s="194"/>
      <c r="ROD21" s="194"/>
      <c r="ROE21" s="195"/>
      <c r="ROF21" s="195"/>
      <c r="ROG21" s="196"/>
      <c r="ROH21" s="195"/>
      <c r="ROI21" s="197"/>
      <c r="ROJ21" s="198"/>
      <c r="ROK21" s="199"/>
      <c r="ROL21" s="194"/>
      <c r="ROM21" s="194"/>
      <c r="RON21" s="194"/>
      <c r="ROO21" s="195"/>
      <c r="ROP21" s="195"/>
      <c r="ROQ21" s="196"/>
      <c r="ROR21" s="195"/>
      <c r="ROS21" s="197"/>
      <c r="ROT21" s="198"/>
      <c r="ROU21" s="199"/>
      <c r="ROV21" s="194"/>
      <c r="ROW21" s="194"/>
      <c r="ROX21" s="194"/>
      <c r="ROY21" s="195"/>
      <c r="ROZ21" s="195"/>
      <c r="RPA21" s="196"/>
      <c r="RPB21" s="195"/>
      <c r="RPC21" s="197"/>
      <c r="RPD21" s="198"/>
      <c r="RPE21" s="199"/>
      <c r="RPF21" s="194"/>
      <c r="RPG21" s="194"/>
      <c r="RPH21" s="194"/>
      <c r="RPI21" s="195"/>
      <c r="RPJ21" s="195"/>
      <c r="RPK21" s="196"/>
      <c r="RPL21" s="195"/>
      <c r="RPM21" s="197"/>
      <c r="RPN21" s="198"/>
      <c r="RPO21" s="199"/>
      <c r="RPP21" s="194"/>
      <c r="RPQ21" s="194"/>
      <c r="RPR21" s="194"/>
      <c r="RPS21" s="195"/>
      <c r="RPT21" s="195"/>
      <c r="RPU21" s="196"/>
      <c r="RPV21" s="195"/>
      <c r="RPW21" s="197"/>
      <c r="RPX21" s="198"/>
      <c r="RPY21" s="199"/>
      <c r="RPZ21" s="194"/>
      <c r="RQA21" s="194"/>
      <c r="RQB21" s="194"/>
      <c r="RQC21" s="195"/>
      <c r="RQD21" s="195"/>
      <c r="RQE21" s="196"/>
      <c r="RQF21" s="195"/>
      <c r="RQG21" s="197"/>
      <c r="RQH21" s="198"/>
      <c r="RQI21" s="199"/>
      <c r="RQJ21" s="194"/>
      <c r="RQK21" s="194"/>
      <c r="RQL21" s="194"/>
      <c r="RQM21" s="195"/>
      <c r="RQN21" s="195"/>
      <c r="RQO21" s="196"/>
      <c r="RQP21" s="195"/>
      <c r="RQQ21" s="197"/>
      <c r="RQR21" s="198"/>
      <c r="RQS21" s="199"/>
      <c r="RQT21" s="194"/>
      <c r="RQU21" s="194"/>
      <c r="RQV21" s="194"/>
      <c r="RQW21" s="195"/>
      <c r="RQX21" s="195"/>
      <c r="RQY21" s="196"/>
      <c r="RQZ21" s="195"/>
      <c r="RRA21" s="197"/>
      <c r="RRB21" s="198"/>
      <c r="RRC21" s="199"/>
      <c r="RRD21" s="194"/>
      <c r="RRE21" s="194"/>
      <c r="RRF21" s="194"/>
      <c r="RRG21" s="195"/>
      <c r="RRH21" s="195"/>
      <c r="RRI21" s="196"/>
      <c r="RRJ21" s="195"/>
      <c r="RRK21" s="197"/>
      <c r="RRL21" s="198"/>
      <c r="RRM21" s="199"/>
      <c r="RRN21" s="194"/>
      <c r="RRO21" s="194"/>
      <c r="RRP21" s="194"/>
      <c r="RRQ21" s="195"/>
      <c r="RRR21" s="195"/>
      <c r="RRS21" s="196"/>
      <c r="RRT21" s="195"/>
      <c r="RRU21" s="197"/>
      <c r="RRV21" s="198"/>
      <c r="RRW21" s="199"/>
      <c r="RRX21" s="194"/>
      <c r="RRY21" s="194"/>
      <c r="RRZ21" s="194"/>
      <c r="RSA21" s="195"/>
      <c r="RSB21" s="195"/>
      <c r="RSC21" s="196"/>
      <c r="RSD21" s="195"/>
      <c r="RSE21" s="197"/>
      <c r="RSF21" s="198"/>
      <c r="RSG21" s="199"/>
      <c r="RSH21" s="194"/>
      <c r="RSI21" s="194"/>
      <c r="RSJ21" s="194"/>
      <c r="RSK21" s="195"/>
      <c r="RSL21" s="195"/>
      <c r="RSM21" s="196"/>
      <c r="RSN21" s="195"/>
      <c r="RSO21" s="197"/>
      <c r="RSP21" s="198"/>
      <c r="RSQ21" s="199"/>
      <c r="RSR21" s="194"/>
      <c r="RSS21" s="194"/>
      <c r="RST21" s="194"/>
      <c r="RSU21" s="195"/>
      <c r="RSV21" s="195"/>
      <c r="RSW21" s="196"/>
      <c r="RSX21" s="195"/>
      <c r="RSY21" s="197"/>
      <c r="RSZ21" s="198"/>
      <c r="RTA21" s="199"/>
      <c r="RTB21" s="194"/>
      <c r="RTC21" s="194"/>
      <c r="RTD21" s="194"/>
      <c r="RTE21" s="195"/>
      <c r="RTF21" s="195"/>
      <c r="RTG21" s="196"/>
      <c r="RTH21" s="195"/>
      <c r="RTI21" s="197"/>
      <c r="RTJ21" s="198"/>
      <c r="RTK21" s="199"/>
      <c r="RTL21" s="194"/>
      <c r="RTM21" s="194"/>
      <c r="RTN21" s="194"/>
      <c r="RTO21" s="195"/>
      <c r="RTP21" s="195"/>
      <c r="RTQ21" s="196"/>
      <c r="RTR21" s="195"/>
      <c r="RTS21" s="197"/>
      <c r="RTT21" s="198"/>
      <c r="RTU21" s="199"/>
      <c r="RTV21" s="194"/>
      <c r="RTW21" s="194"/>
      <c r="RTX21" s="194"/>
      <c r="RTY21" s="195"/>
      <c r="RTZ21" s="195"/>
      <c r="RUA21" s="196"/>
      <c r="RUB21" s="195"/>
      <c r="RUC21" s="197"/>
      <c r="RUD21" s="198"/>
      <c r="RUE21" s="199"/>
      <c r="RUF21" s="194"/>
      <c r="RUG21" s="194"/>
      <c r="RUH21" s="194"/>
      <c r="RUI21" s="195"/>
      <c r="RUJ21" s="195"/>
      <c r="RUK21" s="196"/>
      <c r="RUL21" s="195"/>
      <c r="RUM21" s="197"/>
      <c r="RUN21" s="198"/>
      <c r="RUO21" s="199"/>
      <c r="RUP21" s="194"/>
      <c r="RUQ21" s="194"/>
      <c r="RUR21" s="194"/>
      <c r="RUS21" s="195"/>
      <c r="RUT21" s="195"/>
      <c r="RUU21" s="196"/>
      <c r="RUV21" s="195"/>
      <c r="RUW21" s="197"/>
      <c r="RUX21" s="198"/>
      <c r="RUY21" s="199"/>
      <c r="RUZ21" s="194"/>
      <c r="RVA21" s="194"/>
      <c r="RVB21" s="194"/>
      <c r="RVC21" s="195"/>
      <c r="RVD21" s="195"/>
      <c r="RVE21" s="196"/>
      <c r="RVF21" s="195"/>
      <c r="RVG21" s="197"/>
      <c r="RVH21" s="198"/>
      <c r="RVI21" s="199"/>
      <c r="RVJ21" s="194"/>
      <c r="RVK21" s="194"/>
      <c r="RVL21" s="194"/>
      <c r="RVM21" s="195"/>
      <c r="RVN21" s="195"/>
      <c r="RVO21" s="196"/>
      <c r="RVP21" s="195"/>
      <c r="RVQ21" s="197"/>
      <c r="RVR21" s="198"/>
      <c r="RVS21" s="199"/>
      <c r="RVT21" s="194"/>
      <c r="RVU21" s="194"/>
      <c r="RVV21" s="194"/>
      <c r="RVW21" s="195"/>
      <c r="RVX21" s="195"/>
      <c r="RVY21" s="196"/>
      <c r="RVZ21" s="195"/>
      <c r="RWA21" s="197"/>
      <c r="RWB21" s="198"/>
      <c r="RWC21" s="199"/>
      <c r="RWD21" s="194"/>
      <c r="RWE21" s="194"/>
      <c r="RWF21" s="194"/>
      <c r="RWG21" s="195"/>
      <c r="RWH21" s="195"/>
      <c r="RWI21" s="196"/>
      <c r="RWJ21" s="195"/>
      <c r="RWK21" s="197"/>
      <c r="RWL21" s="198"/>
      <c r="RWM21" s="199"/>
      <c r="RWN21" s="194"/>
      <c r="RWO21" s="194"/>
      <c r="RWP21" s="194"/>
      <c r="RWQ21" s="195"/>
      <c r="RWR21" s="195"/>
      <c r="RWS21" s="196"/>
      <c r="RWT21" s="195"/>
      <c r="RWU21" s="197"/>
      <c r="RWV21" s="198"/>
      <c r="RWW21" s="199"/>
      <c r="RWX21" s="194"/>
      <c r="RWY21" s="194"/>
      <c r="RWZ21" s="194"/>
      <c r="RXA21" s="195"/>
      <c r="RXB21" s="195"/>
      <c r="RXC21" s="196"/>
      <c r="RXD21" s="195"/>
      <c r="RXE21" s="197"/>
      <c r="RXF21" s="198"/>
      <c r="RXG21" s="199"/>
      <c r="RXH21" s="194"/>
      <c r="RXI21" s="194"/>
      <c r="RXJ21" s="194"/>
      <c r="RXK21" s="195"/>
      <c r="RXL21" s="195"/>
      <c r="RXM21" s="196"/>
      <c r="RXN21" s="195"/>
      <c r="RXO21" s="197"/>
      <c r="RXP21" s="198"/>
      <c r="RXQ21" s="199"/>
      <c r="RXR21" s="194"/>
      <c r="RXS21" s="194"/>
      <c r="RXT21" s="194"/>
      <c r="RXU21" s="195"/>
      <c r="RXV21" s="195"/>
      <c r="RXW21" s="196"/>
      <c r="RXX21" s="195"/>
      <c r="RXY21" s="197"/>
      <c r="RXZ21" s="198"/>
      <c r="RYA21" s="199"/>
      <c r="RYB21" s="194"/>
      <c r="RYC21" s="194"/>
      <c r="RYD21" s="194"/>
      <c r="RYE21" s="195"/>
      <c r="RYF21" s="195"/>
      <c r="RYG21" s="196"/>
      <c r="RYH21" s="195"/>
      <c r="RYI21" s="197"/>
      <c r="RYJ21" s="198"/>
      <c r="RYK21" s="199"/>
      <c r="RYL21" s="194"/>
      <c r="RYM21" s="194"/>
      <c r="RYN21" s="194"/>
      <c r="RYO21" s="195"/>
      <c r="RYP21" s="195"/>
      <c r="RYQ21" s="196"/>
      <c r="RYR21" s="195"/>
      <c r="RYS21" s="197"/>
      <c r="RYT21" s="198"/>
      <c r="RYU21" s="199"/>
      <c r="RYV21" s="194"/>
      <c r="RYW21" s="194"/>
      <c r="RYX21" s="194"/>
      <c r="RYY21" s="195"/>
      <c r="RYZ21" s="195"/>
      <c r="RZA21" s="196"/>
      <c r="RZB21" s="195"/>
      <c r="RZC21" s="197"/>
      <c r="RZD21" s="198"/>
      <c r="RZE21" s="199"/>
      <c r="RZF21" s="194"/>
      <c r="RZG21" s="194"/>
      <c r="RZH21" s="194"/>
      <c r="RZI21" s="195"/>
      <c r="RZJ21" s="195"/>
      <c r="RZK21" s="196"/>
      <c r="RZL21" s="195"/>
      <c r="RZM21" s="197"/>
      <c r="RZN21" s="198"/>
      <c r="RZO21" s="199"/>
      <c r="RZP21" s="194"/>
      <c r="RZQ21" s="194"/>
      <c r="RZR21" s="194"/>
      <c r="RZS21" s="195"/>
      <c r="RZT21" s="195"/>
      <c r="RZU21" s="196"/>
      <c r="RZV21" s="195"/>
      <c r="RZW21" s="197"/>
      <c r="RZX21" s="198"/>
      <c r="RZY21" s="199"/>
      <c r="RZZ21" s="194"/>
      <c r="SAA21" s="194"/>
      <c r="SAB21" s="194"/>
      <c r="SAC21" s="195"/>
      <c r="SAD21" s="195"/>
      <c r="SAE21" s="196"/>
      <c r="SAF21" s="195"/>
      <c r="SAG21" s="197"/>
      <c r="SAH21" s="198"/>
      <c r="SAI21" s="199"/>
      <c r="SAJ21" s="194"/>
      <c r="SAK21" s="194"/>
      <c r="SAL21" s="194"/>
      <c r="SAM21" s="195"/>
      <c r="SAN21" s="195"/>
      <c r="SAO21" s="196"/>
      <c r="SAP21" s="195"/>
      <c r="SAQ21" s="197"/>
      <c r="SAR21" s="198"/>
      <c r="SAS21" s="199"/>
      <c r="SAT21" s="194"/>
      <c r="SAU21" s="194"/>
      <c r="SAV21" s="194"/>
      <c r="SAW21" s="195"/>
      <c r="SAX21" s="195"/>
      <c r="SAY21" s="196"/>
      <c r="SAZ21" s="195"/>
      <c r="SBA21" s="197"/>
      <c r="SBB21" s="198"/>
      <c r="SBC21" s="199"/>
      <c r="SBD21" s="194"/>
      <c r="SBE21" s="194"/>
      <c r="SBF21" s="194"/>
      <c r="SBG21" s="195"/>
      <c r="SBH21" s="195"/>
      <c r="SBI21" s="196"/>
      <c r="SBJ21" s="195"/>
      <c r="SBK21" s="197"/>
      <c r="SBL21" s="198"/>
      <c r="SBM21" s="199"/>
      <c r="SBN21" s="194"/>
      <c r="SBO21" s="194"/>
      <c r="SBP21" s="194"/>
      <c r="SBQ21" s="195"/>
      <c r="SBR21" s="195"/>
      <c r="SBS21" s="196"/>
      <c r="SBT21" s="195"/>
      <c r="SBU21" s="197"/>
      <c r="SBV21" s="198"/>
      <c r="SBW21" s="199"/>
      <c r="SBX21" s="194"/>
      <c r="SBY21" s="194"/>
      <c r="SBZ21" s="194"/>
      <c r="SCA21" s="195"/>
      <c r="SCB21" s="195"/>
      <c r="SCC21" s="196"/>
      <c r="SCD21" s="195"/>
      <c r="SCE21" s="197"/>
      <c r="SCF21" s="198"/>
      <c r="SCG21" s="199"/>
      <c r="SCH21" s="194"/>
      <c r="SCI21" s="194"/>
      <c r="SCJ21" s="194"/>
      <c r="SCK21" s="195"/>
      <c r="SCL21" s="195"/>
      <c r="SCM21" s="196"/>
      <c r="SCN21" s="195"/>
      <c r="SCO21" s="197"/>
      <c r="SCP21" s="198"/>
      <c r="SCQ21" s="199"/>
      <c r="SCR21" s="194"/>
      <c r="SCS21" s="194"/>
      <c r="SCT21" s="194"/>
      <c r="SCU21" s="195"/>
      <c r="SCV21" s="195"/>
      <c r="SCW21" s="196"/>
      <c r="SCX21" s="195"/>
      <c r="SCY21" s="197"/>
      <c r="SCZ21" s="198"/>
      <c r="SDA21" s="199"/>
      <c r="SDB21" s="194"/>
      <c r="SDC21" s="194"/>
      <c r="SDD21" s="194"/>
      <c r="SDE21" s="195"/>
      <c r="SDF21" s="195"/>
      <c r="SDG21" s="196"/>
      <c r="SDH21" s="195"/>
      <c r="SDI21" s="197"/>
      <c r="SDJ21" s="198"/>
      <c r="SDK21" s="199"/>
      <c r="SDL21" s="194"/>
      <c r="SDM21" s="194"/>
      <c r="SDN21" s="194"/>
      <c r="SDO21" s="195"/>
      <c r="SDP21" s="195"/>
      <c r="SDQ21" s="196"/>
      <c r="SDR21" s="195"/>
      <c r="SDS21" s="197"/>
      <c r="SDT21" s="198"/>
      <c r="SDU21" s="199"/>
      <c r="SDV21" s="194"/>
      <c r="SDW21" s="194"/>
      <c r="SDX21" s="194"/>
      <c r="SDY21" s="195"/>
      <c r="SDZ21" s="195"/>
      <c r="SEA21" s="196"/>
      <c r="SEB21" s="195"/>
      <c r="SEC21" s="197"/>
      <c r="SED21" s="198"/>
      <c r="SEE21" s="199"/>
      <c r="SEF21" s="194"/>
      <c r="SEG21" s="194"/>
      <c r="SEH21" s="194"/>
      <c r="SEI21" s="195"/>
      <c r="SEJ21" s="195"/>
      <c r="SEK21" s="196"/>
      <c r="SEL21" s="195"/>
      <c r="SEM21" s="197"/>
      <c r="SEN21" s="198"/>
      <c r="SEO21" s="199"/>
      <c r="SEP21" s="194"/>
      <c r="SEQ21" s="194"/>
      <c r="SER21" s="194"/>
      <c r="SES21" s="195"/>
      <c r="SET21" s="195"/>
      <c r="SEU21" s="196"/>
      <c r="SEV21" s="195"/>
      <c r="SEW21" s="197"/>
      <c r="SEX21" s="198"/>
      <c r="SEY21" s="199"/>
      <c r="SEZ21" s="194"/>
      <c r="SFA21" s="194"/>
      <c r="SFB21" s="194"/>
      <c r="SFC21" s="195"/>
      <c r="SFD21" s="195"/>
      <c r="SFE21" s="196"/>
      <c r="SFF21" s="195"/>
      <c r="SFG21" s="197"/>
      <c r="SFH21" s="198"/>
      <c r="SFI21" s="199"/>
      <c r="SFJ21" s="194"/>
      <c r="SFK21" s="194"/>
      <c r="SFL21" s="194"/>
      <c r="SFM21" s="195"/>
      <c r="SFN21" s="195"/>
      <c r="SFO21" s="196"/>
      <c r="SFP21" s="195"/>
      <c r="SFQ21" s="197"/>
      <c r="SFR21" s="198"/>
      <c r="SFS21" s="199"/>
      <c r="SFT21" s="194"/>
      <c r="SFU21" s="194"/>
      <c r="SFV21" s="194"/>
      <c r="SFW21" s="195"/>
      <c r="SFX21" s="195"/>
      <c r="SFY21" s="196"/>
      <c r="SFZ21" s="195"/>
      <c r="SGA21" s="197"/>
      <c r="SGB21" s="198"/>
      <c r="SGC21" s="199"/>
      <c r="SGD21" s="194"/>
      <c r="SGE21" s="194"/>
      <c r="SGF21" s="194"/>
      <c r="SGG21" s="195"/>
      <c r="SGH21" s="195"/>
      <c r="SGI21" s="196"/>
      <c r="SGJ21" s="195"/>
      <c r="SGK21" s="197"/>
      <c r="SGL21" s="198"/>
      <c r="SGM21" s="199"/>
      <c r="SGN21" s="194"/>
      <c r="SGO21" s="194"/>
      <c r="SGP21" s="194"/>
      <c r="SGQ21" s="195"/>
      <c r="SGR21" s="195"/>
      <c r="SGS21" s="196"/>
      <c r="SGT21" s="195"/>
      <c r="SGU21" s="197"/>
      <c r="SGV21" s="198"/>
      <c r="SGW21" s="199"/>
      <c r="SGX21" s="194"/>
      <c r="SGY21" s="194"/>
      <c r="SGZ21" s="194"/>
      <c r="SHA21" s="195"/>
      <c r="SHB21" s="195"/>
      <c r="SHC21" s="196"/>
      <c r="SHD21" s="195"/>
      <c r="SHE21" s="197"/>
      <c r="SHF21" s="198"/>
      <c r="SHG21" s="199"/>
      <c r="SHH21" s="194"/>
      <c r="SHI21" s="194"/>
      <c r="SHJ21" s="194"/>
      <c r="SHK21" s="195"/>
      <c r="SHL21" s="195"/>
      <c r="SHM21" s="196"/>
      <c r="SHN21" s="195"/>
      <c r="SHO21" s="197"/>
      <c r="SHP21" s="198"/>
      <c r="SHQ21" s="199"/>
      <c r="SHR21" s="194"/>
      <c r="SHS21" s="194"/>
      <c r="SHT21" s="194"/>
      <c r="SHU21" s="195"/>
      <c r="SHV21" s="195"/>
      <c r="SHW21" s="196"/>
      <c r="SHX21" s="195"/>
      <c r="SHY21" s="197"/>
      <c r="SHZ21" s="198"/>
      <c r="SIA21" s="199"/>
      <c r="SIB21" s="194"/>
      <c r="SIC21" s="194"/>
      <c r="SID21" s="194"/>
      <c r="SIE21" s="195"/>
      <c r="SIF21" s="195"/>
      <c r="SIG21" s="196"/>
      <c r="SIH21" s="195"/>
      <c r="SII21" s="197"/>
      <c r="SIJ21" s="198"/>
      <c r="SIK21" s="199"/>
      <c r="SIL21" s="194"/>
      <c r="SIM21" s="194"/>
      <c r="SIN21" s="194"/>
      <c r="SIO21" s="195"/>
      <c r="SIP21" s="195"/>
      <c r="SIQ21" s="196"/>
      <c r="SIR21" s="195"/>
      <c r="SIS21" s="197"/>
      <c r="SIT21" s="198"/>
      <c r="SIU21" s="199"/>
      <c r="SIV21" s="194"/>
      <c r="SIW21" s="194"/>
      <c r="SIX21" s="194"/>
      <c r="SIY21" s="195"/>
      <c r="SIZ21" s="195"/>
      <c r="SJA21" s="196"/>
      <c r="SJB21" s="195"/>
      <c r="SJC21" s="197"/>
      <c r="SJD21" s="198"/>
      <c r="SJE21" s="199"/>
      <c r="SJF21" s="194"/>
      <c r="SJG21" s="194"/>
      <c r="SJH21" s="194"/>
      <c r="SJI21" s="195"/>
      <c r="SJJ21" s="195"/>
      <c r="SJK21" s="196"/>
      <c r="SJL21" s="195"/>
      <c r="SJM21" s="197"/>
      <c r="SJN21" s="198"/>
      <c r="SJO21" s="199"/>
      <c r="SJP21" s="194"/>
      <c r="SJQ21" s="194"/>
      <c r="SJR21" s="194"/>
      <c r="SJS21" s="195"/>
      <c r="SJT21" s="195"/>
      <c r="SJU21" s="196"/>
      <c r="SJV21" s="195"/>
      <c r="SJW21" s="197"/>
      <c r="SJX21" s="198"/>
      <c r="SJY21" s="199"/>
      <c r="SJZ21" s="194"/>
      <c r="SKA21" s="194"/>
      <c r="SKB21" s="194"/>
      <c r="SKC21" s="195"/>
      <c r="SKD21" s="195"/>
      <c r="SKE21" s="196"/>
      <c r="SKF21" s="195"/>
      <c r="SKG21" s="197"/>
      <c r="SKH21" s="198"/>
      <c r="SKI21" s="199"/>
      <c r="SKJ21" s="194"/>
      <c r="SKK21" s="194"/>
      <c r="SKL21" s="194"/>
      <c r="SKM21" s="195"/>
      <c r="SKN21" s="195"/>
      <c r="SKO21" s="196"/>
      <c r="SKP21" s="195"/>
      <c r="SKQ21" s="197"/>
      <c r="SKR21" s="198"/>
      <c r="SKS21" s="199"/>
      <c r="SKT21" s="194"/>
      <c r="SKU21" s="194"/>
      <c r="SKV21" s="194"/>
      <c r="SKW21" s="195"/>
      <c r="SKX21" s="195"/>
      <c r="SKY21" s="196"/>
      <c r="SKZ21" s="195"/>
      <c r="SLA21" s="197"/>
      <c r="SLB21" s="198"/>
      <c r="SLC21" s="199"/>
      <c r="SLD21" s="194"/>
      <c r="SLE21" s="194"/>
      <c r="SLF21" s="194"/>
      <c r="SLG21" s="195"/>
      <c r="SLH21" s="195"/>
      <c r="SLI21" s="196"/>
      <c r="SLJ21" s="195"/>
      <c r="SLK21" s="197"/>
      <c r="SLL21" s="198"/>
      <c r="SLM21" s="199"/>
      <c r="SLN21" s="194"/>
      <c r="SLO21" s="194"/>
      <c r="SLP21" s="194"/>
      <c r="SLQ21" s="195"/>
      <c r="SLR21" s="195"/>
      <c r="SLS21" s="196"/>
      <c r="SLT21" s="195"/>
      <c r="SLU21" s="197"/>
      <c r="SLV21" s="198"/>
      <c r="SLW21" s="199"/>
      <c r="SLX21" s="194"/>
      <c r="SLY21" s="194"/>
      <c r="SLZ21" s="194"/>
      <c r="SMA21" s="195"/>
      <c r="SMB21" s="195"/>
      <c r="SMC21" s="196"/>
      <c r="SMD21" s="195"/>
      <c r="SME21" s="197"/>
      <c r="SMF21" s="198"/>
      <c r="SMG21" s="199"/>
      <c r="SMH21" s="194"/>
      <c r="SMI21" s="194"/>
      <c r="SMJ21" s="194"/>
      <c r="SMK21" s="195"/>
      <c r="SML21" s="195"/>
      <c r="SMM21" s="196"/>
      <c r="SMN21" s="195"/>
      <c r="SMO21" s="197"/>
      <c r="SMP21" s="198"/>
      <c r="SMQ21" s="199"/>
      <c r="SMR21" s="194"/>
      <c r="SMS21" s="194"/>
      <c r="SMT21" s="194"/>
      <c r="SMU21" s="195"/>
      <c r="SMV21" s="195"/>
      <c r="SMW21" s="196"/>
      <c r="SMX21" s="195"/>
      <c r="SMY21" s="197"/>
      <c r="SMZ21" s="198"/>
      <c r="SNA21" s="199"/>
      <c r="SNB21" s="194"/>
      <c r="SNC21" s="194"/>
      <c r="SND21" s="194"/>
      <c r="SNE21" s="195"/>
      <c r="SNF21" s="195"/>
      <c r="SNG21" s="196"/>
      <c r="SNH21" s="195"/>
      <c r="SNI21" s="197"/>
      <c r="SNJ21" s="198"/>
      <c r="SNK21" s="199"/>
      <c r="SNL21" s="194"/>
      <c r="SNM21" s="194"/>
      <c r="SNN21" s="194"/>
      <c r="SNO21" s="195"/>
      <c r="SNP21" s="195"/>
      <c r="SNQ21" s="196"/>
      <c r="SNR21" s="195"/>
      <c r="SNS21" s="197"/>
      <c r="SNT21" s="198"/>
      <c r="SNU21" s="199"/>
      <c r="SNV21" s="194"/>
      <c r="SNW21" s="194"/>
      <c r="SNX21" s="194"/>
      <c r="SNY21" s="195"/>
      <c r="SNZ21" s="195"/>
      <c r="SOA21" s="196"/>
      <c r="SOB21" s="195"/>
      <c r="SOC21" s="197"/>
      <c r="SOD21" s="198"/>
      <c r="SOE21" s="199"/>
      <c r="SOF21" s="194"/>
      <c r="SOG21" s="194"/>
      <c r="SOH21" s="194"/>
      <c r="SOI21" s="195"/>
      <c r="SOJ21" s="195"/>
      <c r="SOK21" s="196"/>
      <c r="SOL21" s="195"/>
      <c r="SOM21" s="197"/>
      <c r="SON21" s="198"/>
      <c r="SOO21" s="199"/>
      <c r="SOP21" s="194"/>
      <c r="SOQ21" s="194"/>
      <c r="SOR21" s="194"/>
      <c r="SOS21" s="195"/>
      <c r="SOT21" s="195"/>
      <c r="SOU21" s="196"/>
      <c r="SOV21" s="195"/>
      <c r="SOW21" s="197"/>
      <c r="SOX21" s="198"/>
      <c r="SOY21" s="199"/>
      <c r="SOZ21" s="194"/>
      <c r="SPA21" s="194"/>
      <c r="SPB21" s="194"/>
      <c r="SPC21" s="195"/>
      <c r="SPD21" s="195"/>
      <c r="SPE21" s="196"/>
      <c r="SPF21" s="195"/>
      <c r="SPG21" s="197"/>
      <c r="SPH21" s="198"/>
      <c r="SPI21" s="199"/>
      <c r="SPJ21" s="194"/>
      <c r="SPK21" s="194"/>
      <c r="SPL21" s="194"/>
      <c r="SPM21" s="195"/>
      <c r="SPN21" s="195"/>
      <c r="SPO21" s="196"/>
      <c r="SPP21" s="195"/>
      <c r="SPQ21" s="197"/>
      <c r="SPR21" s="198"/>
      <c r="SPS21" s="199"/>
      <c r="SPT21" s="194"/>
      <c r="SPU21" s="194"/>
      <c r="SPV21" s="194"/>
      <c r="SPW21" s="195"/>
      <c r="SPX21" s="195"/>
      <c r="SPY21" s="196"/>
      <c r="SPZ21" s="195"/>
      <c r="SQA21" s="197"/>
      <c r="SQB21" s="198"/>
      <c r="SQC21" s="199"/>
      <c r="SQD21" s="194"/>
      <c r="SQE21" s="194"/>
      <c r="SQF21" s="194"/>
      <c r="SQG21" s="195"/>
      <c r="SQH21" s="195"/>
      <c r="SQI21" s="196"/>
      <c r="SQJ21" s="195"/>
      <c r="SQK21" s="197"/>
      <c r="SQL21" s="198"/>
      <c r="SQM21" s="199"/>
      <c r="SQN21" s="194"/>
      <c r="SQO21" s="194"/>
      <c r="SQP21" s="194"/>
      <c r="SQQ21" s="195"/>
      <c r="SQR21" s="195"/>
      <c r="SQS21" s="196"/>
      <c r="SQT21" s="195"/>
      <c r="SQU21" s="197"/>
      <c r="SQV21" s="198"/>
      <c r="SQW21" s="199"/>
      <c r="SQX21" s="194"/>
      <c r="SQY21" s="194"/>
      <c r="SQZ21" s="194"/>
      <c r="SRA21" s="195"/>
      <c r="SRB21" s="195"/>
      <c r="SRC21" s="196"/>
      <c r="SRD21" s="195"/>
      <c r="SRE21" s="197"/>
      <c r="SRF21" s="198"/>
      <c r="SRG21" s="199"/>
      <c r="SRH21" s="194"/>
      <c r="SRI21" s="194"/>
      <c r="SRJ21" s="194"/>
      <c r="SRK21" s="195"/>
      <c r="SRL21" s="195"/>
      <c r="SRM21" s="196"/>
      <c r="SRN21" s="195"/>
      <c r="SRO21" s="197"/>
      <c r="SRP21" s="198"/>
      <c r="SRQ21" s="199"/>
      <c r="SRR21" s="194"/>
      <c r="SRS21" s="194"/>
      <c r="SRT21" s="194"/>
      <c r="SRU21" s="195"/>
      <c r="SRV21" s="195"/>
      <c r="SRW21" s="196"/>
      <c r="SRX21" s="195"/>
      <c r="SRY21" s="197"/>
      <c r="SRZ21" s="198"/>
      <c r="SSA21" s="199"/>
      <c r="SSB21" s="194"/>
      <c r="SSC21" s="194"/>
      <c r="SSD21" s="194"/>
      <c r="SSE21" s="195"/>
      <c r="SSF21" s="195"/>
      <c r="SSG21" s="196"/>
      <c r="SSH21" s="195"/>
      <c r="SSI21" s="197"/>
      <c r="SSJ21" s="198"/>
      <c r="SSK21" s="199"/>
      <c r="SSL21" s="194"/>
      <c r="SSM21" s="194"/>
      <c r="SSN21" s="194"/>
      <c r="SSO21" s="195"/>
      <c r="SSP21" s="195"/>
      <c r="SSQ21" s="196"/>
      <c r="SSR21" s="195"/>
      <c r="SSS21" s="197"/>
      <c r="SST21" s="198"/>
      <c r="SSU21" s="199"/>
      <c r="SSV21" s="194"/>
      <c r="SSW21" s="194"/>
      <c r="SSX21" s="194"/>
      <c r="SSY21" s="195"/>
      <c r="SSZ21" s="195"/>
      <c r="STA21" s="196"/>
      <c r="STB21" s="195"/>
      <c r="STC21" s="197"/>
      <c r="STD21" s="198"/>
      <c r="STE21" s="199"/>
      <c r="STF21" s="194"/>
      <c r="STG21" s="194"/>
      <c r="STH21" s="194"/>
      <c r="STI21" s="195"/>
      <c r="STJ21" s="195"/>
      <c r="STK21" s="196"/>
      <c r="STL21" s="195"/>
      <c r="STM21" s="197"/>
      <c r="STN21" s="198"/>
      <c r="STO21" s="199"/>
      <c r="STP21" s="194"/>
      <c r="STQ21" s="194"/>
      <c r="STR21" s="194"/>
      <c r="STS21" s="195"/>
      <c r="STT21" s="195"/>
      <c r="STU21" s="196"/>
      <c r="STV21" s="195"/>
      <c r="STW21" s="197"/>
      <c r="STX21" s="198"/>
      <c r="STY21" s="199"/>
      <c r="STZ21" s="194"/>
      <c r="SUA21" s="194"/>
      <c r="SUB21" s="194"/>
      <c r="SUC21" s="195"/>
      <c r="SUD21" s="195"/>
      <c r="SUE21" s="196"/>
      <c r="SUF21" s="195"/>
      <c r="SUG21" s="197"/>
      <c r="SUH21" s="198"/>
      <c r="SUI21" s="199"/>
      <c r="SUJ21" s="194"/>
      <c r="SUK21" s="194"/>
      <c r="SUL21" s="194"/>
      <c r="SUM21" s="195"/>
      <c r="SUN21" s="195"/>
      <c r="SUO21" s="196"/>
      <c r="SUP21" s="195"/>
      <c r="SUQ21" s="197"/>
      <c r="SUR21" s="198"/>
      <c r="SUS21" s="199"/>
      <c r="SUT21" s="194"/>
      <c r="SUU21" s="194"/>
      <c r="SUV21" s="194"/>
      <c r="SUW21" s="195"/>
      <c r="SUX21" s="195"/>
      <c r="SUY21" s="196"/>
      <c r="SUZ21" s="195"/>
      <c r="SVA21" s="197"/>
      <c r="SVB21" s="198"/>
      <c r="SVC21" s="199"/>
      <c r="SVD21" s="194"/>
      <c r="SVE21" s="194"/>
      <c r="SVF21" s="194"/>
      <c r="SVG21" s="195"/>
      <c r="SVH21" s="195"/>
      <c r="SVI21" s="196"/>
      <c r="SVJ21" s="195"/>
      <c r="SVK21" s="197"/>
      <c r="SVL21" s="198"/>
      <c r="SVM21" s="199"/>
      <c r="SVN21" s="194"/>
      <c r="SVO21" s="194"/>
      <c r="SVP21" s="194"/>
      <c r="SVQ21" s="195"/>
      <c r="SVR21" s="195"/>
      <c r="SVS21" s="196"/>
      <c r="SVT21" s="195"/>
      <c r="SVU21" s="197"/>
      <c r="SVV21" s="198"/>
      <c r="SVW21" s="199"/>
      <c r="SVX21" s="194"/>
      <c r="SVY21" s="194"/>
      <c r="SVZ21" s="194"/>
      <c r="SWA21" s="195"/>
      <c r="SWB21" s="195"/>
      <c r="SWC21" s="196"/>
      <c r="SWD21" s="195"/>
      <c r="SWE21" s="197"/>
      <c r="SWF21" s="198"/>
      <c r="SWG21" s="199"/>
      <c r="SWH21" s="194"/>
      <c r="SWI21" s="194"/>
      <c r="SWJ21" s="194"/>
      <c r="SWK21" s="195"/>
      <c r="SWL21" s="195"/>
      <c r="SWM21" s="196"/>
      <c r="SWN21" s="195"/>
      <c r="SWO21" s="197"/>
      <c r="SWP21" s="198"/>
      <c r="SWQ21" s="199"/>
      <c r="SWR21" s="194"/>
      <c r="SWS21" s="194"/>
      <c r="SWT21" s="194"/>
      <c r="SWU21" s="195"/>
      <c r="SWV21" s="195"/>
      <c r="SWW21" s="196"/>
      <c r="SWX21" s="195"/>
      <c r="SWY21" s="197"/>
      <c r="SWZ21" s="198"/>
      <c r="SXA21" s="199"/>
      <c r="SXB21" s="194"/>
      <c r="SXC21" s="194"/>
      <c r="SXD21" s="194"/>
      <c r="SXE21" s="195"/>
      <c r="SXF21" s="195"/>
      <c r="SXG21" s="196"/>
      <c r="SXH21" s="195"/>
      <c r="SXI21" s="197"/>
      <c r="SXJ21" s="198"/>
      <c r="SXK21" s="199"/>
      <c r="SXL21" s="194"/>
      <c r="SXM21" s="194"/>
      <c r="SXN21" s="194"/>
      <c r="SXO21" s="195"/>
      <c r="SXP21" s="195"/>
      <c r="SXQ21" s="196"/>
      <c r="SXR21" s="195"/>
      <c r="SXS21" s="197"/>
      <c r="SXT21" s="198"/>
      <c r="SXU21" s="199"/>
      <c r="SXV21" s="194"/>
      <c r="SXW21" s="194"/>
      <c r="SXX21" s="194"/>
      <c r="SXY21" s="195"/>
      <c r="SXZ21" s="195"/>
      <c r="SYA21" s="196"/>
      <c r="SYB21" s="195"/>
      <c r="SYC21" s="197"/>
      <c r="SYD21" s="198"/>
      <c r="SYE21" s="199"/>
      <c r="SYF21" s="194"/>
      <c r="SYG21" s="194"/>
      <c r="SYH21" s="194"/>
      <c r="SYI21" s="195"/>
      <c r="SYJ21" s="195"/>
      <c r="SYK21" s="196"/>
      <c r="SYL21" s="195"/>
      <c r="SYM21" s="197"/>
      <c r="SYN21" s="198"/>
      <c r="SYO21" s="199"/>
      <c r="SYP21" s="194"/>
      <c r="SYQ21" s="194"/>
      <c r="SYR21" s="194"/>
      <c r="SYS21" s="195"/>
      <c r="SYT21" s="195"/>
      <c r="SYU21" s="196"/>
      <c r="SYV21" s="195"/>
      <c r="SYW21" s="197"/>
      <c r="SYX21" s="198"/>
      <c r="SYY21" s="199"/>
      <c r="SYZ21" s="194"/>
      <c r="SZA21" s="194"/>
      <c r="SZB21" s="194"/>
      <c r="SZC21" s="195"/>
      <c r="SZD21" s="195"/>
      <c r="SZE21" s="196"/>
      <c r="SZF21" s="195"/>
      <c r="SZG21" s="197"/>
      <c r="SZH21" s="198"/>
      <c r="SZI21" s="199"/>
      <c r="SZJ21" s="194"/>
      <c r="SZK21" s="194"/>
      <c r="SZL21" s="194"/>
      <c r="SZM21" s="195"/>
      <c r="SZN21" s="195"/>
      <c r="SZO21" s="196"/>
      <c r="SZP21" s="195"/>
      <c r="SZQ21" s="197"/>
      <c r="SZR21" s="198"/>
      <c r="SZS21" s="199"/>
      <c r="SZT21" s="194"/>
      <c r="SZU21" s="194"/>
      <c r="SZV21" s="194"/>
      <c r="SZW21" s="195"/>
      <c r="SZX21" s="195"/>
      <c r="SZY21" s="196"/>
      <c r="SZZ21" s="195"/>
      <c r="TAA21" s="197"/>
      <c r="TAB21" s="198"/>
      <c r="TAC21" s="199"/>
      <c r="TAD21" s="194"/>
      <c r="TAE21" s="194"/>
      <c r="TAF21" s="194"/>
      <c r="TAG21" s="195"/>
      <c r="TAH21" s="195"/>
      <c r="TAI21" s="196"/>
      <c r="TAJ21" s="195"/>
      <c r="TAK21" s="197"/>
      <c r="TAL21" s="198"/>
      <c r="TAM21" s="199"/>
      <c r="TAN21" s="194"/>
      <c r="TAO21" s="194"/>
      <c r="TAP21" s="194"/>
      <c r="TAQ21" s="195"/>
      <c r="TAR21" s="195"/>
      <c r="TAS21" s="196"/>
      <c r="TAT21" s="195"/>
      <c r="TAU21" s="197"/>
      <c r="TAV21" s="198"/>
      <c r="TAW21" s="199"/>
      <c r="TAX21" s="194"/>
      <c r="TAY21" s="194"/>
      <c r="TAZ21" s="194"/>
      <c r="TBA21" s="195"/>
      <c r="TBB21" s="195"/>
      <c r="TBC21" s="196"/>
      <c r="TBD21" s="195"/>
      <c r="TBE21" s="197"/>
      <c r="TBF21" s="198"/>
      <c r="TBG21" s="199"/>
      <c r="TBH21" s="194"/>
      <c r="TBI21" s="194"/>
      <c r="TBJ21" s="194"/>
      <c r="TBK21" s="195"/>
      <c r="TBL21" s="195"/>
      <c r="TBM21" s="196"/>
      <c r="TBN21" s="195"/>
      <c r="TBO21" s="197"/>
      <c r="TBP21" s="198"/>
      <c r="TBQ21" s="199"/>
      <c r="TBR21" s="194"/>
      <c r="TBS21" s="194"/>
      <c r="TBT21" s="194"/>
      <c r="TBU21" s="195"/>
      <c r="TBV21" s="195"/>
      <c r="TBW21" s="196"/>
      <c r="TBX21" s="195"/>
      <c r="TBY21" s="197"/>
      <c r="TBZ21" s="198"/>
      <c r="TCA21" s="199"/>
      <c r="TCB21" s="194"/>
      <c r="TCC21" s="194"/>
      <c r="TCD21" s="194"/>
      <c r="TCE21" s="195"/>
      <c r="TCF21" s="195"/>
      <c r="TCG21" s="196"/>
      <c r="TCH21" s="195"/>
      <c r="TCI21" s="197"/>
      <c r="TCJ21" s="198"/>
      <c r="TCK21" s="199"/>
      <c r="TCL21" s="194"/>
      <c r="TCM21" s="194"/>
      <c r="TCN21" s="194"/>
      <c r="TCO21" s="195"/>
      <c r="TCP21" s="195"/>
      <c r="TCQ21" s="196"/>
      <c r="TCR21" s="195"/>
      <c r="TCS21" s="197"/>
      <c r="TCT21" s="198"/>
      <c r="TCU21" s="199"/>
      <c r="TCV21" s="194"/>
      <c r="TCW21" s="194"/>
      <c r="TCX21" s="194"/>
      <c r="TCY21" s="195"/>
      <c r="TCZ21" s="195"/>
      <c r="TDA21" s="196"/>
      <c r="TDB21" s="195"/>
      <c r="TDC21" s="197"/>
      <c r="TDD21" s="198"/>
      <c r="TDE21" s="199"/>
      <c r="TDF21" s="194"/>
      <c r="TDG21" s="194"/>
      <c r="TDH21" s="194"/>
      <c r="TDI21" s="195"/>
      <c r="TDJ21" s="195"/>
      <c r="TDK21" s="196"/>
      <c r="TDL21" s="195"/>
      <c r="TDM21" s="197"/>
      <c r="TDN21" s="198"/>
      <c r="TDO21" s="199"/>
      <c r="TDP21" s="194"/>
      <c r="TDQ21" s="194"/>
      <c r="TDR21" s="194"/>
      <c r="TDS21" s="195"/>
      <c r="TDT21" s="195"/>
      <c r="TDU21" s="196"/>
      <c r="TDV21" s="195"/>
      <c r="TDW21" s="197"/>
      <c r="TDX21" s="198"/>
      <c r="TDY21" s="199"/>
      <c r="TDZ21" s="194"/>
      <c r="TEA21" s="194"/>
      <c r="TEB21" s="194"/>
      <c r="TEC21" s="195"/>
      <c r="TED21" s="195"/>
      <c r="TEE21" s="196"/>
      <c r="TEF21" s="195"/>
      <c r="TEG21" s="197"/>
      <c r="TEH21" s="198"/>
      <c r="TEI21" s="199"/>
      <c r="TEJ21" s="194"/>
      <c r="TEK21" s="194"/>
      <c r="TEL21" s="194"/>
      <c r="TEM21" s="195"/>
      <c r="TEN21" s="195"/>
      <c r="TEO21" s="196"/>
      <c r="TEP21" s="195"/>
      <c r="TEQ21" s="197"/>
      <c r="TER21" s="198"/>
      <c r="TES21" s="199"/>
      <c r="TET21" s="194"/>
      <c r="TEU21" s="194"/>
      <c r="TEV21" s="194"/>
      <c r="TEW21" s="195"/>
      <c r="TEX21" s="195"/>
      <c r="TEY21" s="196"/>
      <c r="TEZ21" s="195"/>
      <c r="TFA21" s="197"/>
      <c r="TFB21" s="198"/>
      <c r="TFC21" s="199"/>
      <c r="TFD21" s="194"/>
      <c r="TFE21" s="194"/>
      <c r="TFF21" s="194"/>
      <c r="TFG21" s="195"/>
      <c r="TFH21" s="195"/>
      <c r="TFI21" s="196"/>
      <c r="TFJ21" s="195"/>
      <c r="TFK21" s="197"/>
      <c r="TFL21" s="198"/>
      <c r="TFM21" s="199"/>
      <c r="TFN21" s="194"/>
      <c r="TFO21" s="194"/>
      <c r="TFP21" s="194"/>
      <c r="TFQ21" s="195"/>
      <c r="TFR21" s="195"/>
      <c r="TFS21" s="196"/>
      <c r="TFT21" s="195"/>
      <c r="TFU21" s="197"/>
      <c r="TFV21" s="198"/>
      <c r="TFW21" s="199"/>
      <c r="TFX21" s="194"/>
      <c r="TFY21" s="194"/>
      <c r="TFZ21" s="194"/>
      <c r="TGA21" s="195"/>
      <c r="TGB21" s="195"/>
      <c r="TGC21" s="196"/>
      <c r="TGD21" s="195"/>
      <c r="TGE21" s="197"/>
      <c r="TGF21" s="198"/>
      <c r="TGG21" s="199"/>
      <c r="TGH21" s="194"/>
      <c r="TGI21" s="194"/>
      <c r="TGJ21" s="194"/>
      <c r="TGK21" s="195"/>
      <c r="TGL21" s="195"/>
      <c r="TGM21" s="196"/>
      <c r="TGN21" s="195"/>
      <c r="TGO21" s="197"/>
      <c r="TGP21" s="198"/>
      <c r="TGQ21" s="199"/>
      <c r="TGR21" s="194"/>
      <c r="TGS21" s="194"/>
      <c r="TGT21" s="194"/>
      <c r="TGU21" s="195"/>
      <c r="TGV21" s="195"/>
      <c r="TGW21" s="196"/>
      <c r="TGX21" s="195"/>
      <c r="TGY21" s="197"/>
      <c r="TGZ21" s="198"/>
      <c r="THA21" s="199"/>
      <c r="THB21" s="194"/>
      <c r="THC21" s="194"/>
      <c r="THD21" s="194"/>
      <c r="THE21" s="195"/>
      <c r="THF21" s="195"/>
      <c r="THG21" s="196"/>
      <c r="THH21" s="195"/>
      <c r="THI21" s="197"/>
      <c r="THJ21" s="198"/>
      <c r="THK21" s="199"/>
      <c r="THL21" s="194"/>
      <c r="THM21" s="194"/>
      <c r="THN21" s="194"/>
      <c r="THO21" s="195"/>
      <c r="THP21" s="195"/>
      <c r="THQ21" s="196"/>
      <c r="THR21" s="195"/>
      <c r="THS21" s="197"/>
      <c r="THT21" s="198"/>
      <c r="THU21" s="199"/>
      <c r="THV21" s="194"/>
      <c r="THW21" s="194"/>
      <c r="THX21" s="194"/>
      <c r="THY21" s="195"/>
      <c r="THZ21" s="195"/>
      <c r="TIA21" s="196"/>
      <c r="TIB21" s="195"/>
      <c r="TIC21" s="197"/>
      <c r="TID21" s="198"/>
      <c r="TIE21" s="199"/>
      <c r="TIF21" s="194"/>
      <c r="TIG21" s="194"/>
      <c r="TIH21" s="194"/>
      <c r="TII21" s="195"/>
      <c r="TIJ21" s="195"/>
      <c r="TIK21" s="196"/>
      <c r="TIL21" s="195"/>
      <c r="TIM21" s="197"/>
      <c r="TIN21" s="198"/>
      <c r="TIO21" s="199"/>
      <c r="TIP21" s="194"/>
      <c r="TIQ21" s="194"/>
      <c r="TIR21" s="194"/>
      <c r="TIS21" s="195"/>
      <c r="TIT21" s="195"/>
      <c r="TIU21" s="196"/>
      <c r="TIV21" s="195"/>
      <c r="TIW21" s="197"/>
      <c r="TIX21" s="198"/>
      <c r="TIY21" s="199"/>
      <c r="TIZ21" s="194"/>
      <c r="TJA21" s="194"/>
      <c r="TJB21" s="194"/>
      <c r="TJC21" s="195"/>
      <c r="TJD21" s="195"/>
      <c r="TJE21" s="196"/>
      <c r="TJF21" s="195"/>
      <c r="TJG21" s="197"/>
      <c r="TJH21" s="198"/>
      <c r="TJI21" s="199"/>
      <c r="TJJ21" s="194"/>
      <c r="TJK21" s="194"/>
      <c r="TJL21" s="194"/>
      <c r="TJM21" s="195"/>
      <c r="TJN21" s="195"/>
      <c r="TJO21" s="196"/>
      <c r="TJP21" s="195"/>
      <c r="TJQ21" s="197"/>
      <c r="TJR21" s="198"/>
      <c r="TJS21" s="199"/>
      <c r="TJT21" s="194"/>
      <c r="TJU21" s="194"/>
      <c r="TJV21" s="194"/>
      <c r="TJW21" s="195"/>
      <c r="TJX21" s="195"/>
      <c r="TJY21" s="196"/>
      <c r="TJZ21" s="195"/>
      <c r="TKA21" s="197"/>
      <c r="TKB21" s="198"/>
      <c r="TKC21" s="199"/>
      <c r="TKD21" s="194"/>
      <c r="TKE21" s="194"/>
      <c r="TKF21" s="194"/>
      <c r="TKG21" s="195"/>
      <c r="TKH21" s="195"/>
      <c r="TKI21" s="196"/>
      <c r="TKJ21" s="195"/>
      <c r="TKK21" s="197"/>
      <c r="TKL21" s="198"/>
      <c r="TKM21" s="199"/>
      <c r="TKN21" s="194"/>
      <c r="TKO21" s="194"/>
      <c r="TKP21" s="194"/>
      <c r="TKQ21" s="195"/>
      <c r="TKR21" s="195"/>
      <c r="TKS21" s="196"/>
      <c r="TKT21" s="195"/>
      <c r="TKU21" s="197"/>
      <c r="TKV21" s="198"/>
      <c r="TKW21" s="199"/>
      <c r="TKX21" s="194"/>
      <c r="TKY21" s="194"/>
      <c r="TKZ21" s="194"/>
      <c r="TLA21" s="195"/>
      <c r="TLB21" s="195"/>
      <c r="TLC21" s="196"/>
      <c r="TLD21" s="195"/>
      <c r="TLE21" s="197"/>
      <c r="TLF21" s="198"/>
      <c r="TLG21" s="199"/>
      <c r="TLH21" s="194"/>
      <c r="TLI21" s="194"/>
      <c r="TLJ21" s="194"/>
      <c r="TLK21" s="195"/>
      <c r="TLL21" s="195"/>
      <c r="TLM21" s="196"/>
      <c r="TLN21" s="195"/>
      <c r="TLO21" s="197"/>
      <c r="TLP21" s="198"/>
      <c r="TLQ21" s="199"/>
      <c r="TLR21" s="194"/>
      <c r="TLS21" s="194"/>
      <c r="TLT21" s="194"/>
      <c r="TLU21" s="195"/>
      <c r="TLV21" s="195"/>
      <c r="TLW21" s="196"/>
      <c r="TLX21" s="195"/>
      <c r="TLY21" s="197"/>
      <c r="TLZ21" s="198"/>
      <c r="TMA21" s="199"/>
      <c r="TMB21" s="194"/>
      <c r="TMC21" s="194"/>
      <c r="TMD21" s="194"/>
      <c r="TME21" s="195"/>
      <c r="TMF21" s="195"/>
      <c r="TMG21" s="196"/>
      <c r="TMH21" s="195"/>
      <c r="TMI21" s="197"/>
      <c r="TMJ21" s="198"/>
      <c r="TMK21" s="199"/>
      <c r="TML21" s="194"/>
      <c r="TMM21" s="194"/>
      <c r="TMN21" s="194"/>
      <c r="TMO21" s="195"/>
      <c r="TMP21" s="195"/>
      <c r="TMQ21" s="196"/>
      <c r="TMR21" s="195"/>
      <c r="TMS21" s="197"/>
      <c r="TMT21" s="198"/>
      <c r="TMU21" s="199"/>
      <c r="TMV21" s="194"/>
      <c r="TMW21" s="194"/>
      <c r="TMX21" s="194"/>
      <c r="TMY21" s="195"/>
      <c r="TMZ21" s="195"/>
      <c r="TNA21" s="196"/>
      <c r="TNB21" s="195"/>
      <c r="TNC21" s="197"/>
      <c r="TND21" s="198"/>
      <c r="TNE21" s="199"/>
      <c r="TNF21" s="194"/>
      <c r="TNG21" s="194"/>
      <c r="TNH21" s="194"/>
      <c r="TNI21" s="195"/>
      <c r="TNJ21" s="195"/>
      <c r="TNK21" s="196"/>
      <c r="TNL21" s="195"/>
      <c r="TNM21" s="197"/>
      <c r="TNN21" s="198"/>
      <c r="TNO21" s="199"/>
      <c r="TNP21" s="194"/>
      <c r="TNQ21" s="194"/>
      <c r="TNR21" s="194"/>
      <c r="TNS21" s="195"/>
      <c r="TNT21" s="195"/>
      <c r="TNU21" s="196"/>
      <c r="TNV21" s="195"/>
      <c r="TNW21" s="197"/>
      <c r="TNX21" s="198"/>
      <c r="TNY21" s="199"/>
      <c r="TNZ21" s="194"/>
      <c r="TOA21" s="194"/>
      <c r="TOB21" s="194"/>
      <c r="TOC21" s="195"/>
      <c r="TOD21" s="195"/>
      <c r="TOE21" s="196"/>
      <c r="TOF21" s="195"/>
      <c r="TOG21" s="197"/>
      <c r="TOH21" s="198"/>
      <c r="TOI21" s="199"/>
      <c r="TOJ21" s="194"/>
      <c r="TOK21" s="194"/>
      <c r="TOL21" s="194"/>
      <c r="TOM21" s="195"/>
      <c r="TON21" s="195"/>
      <c r="TOO21" s="196"/>
      <c r="TOP21" s="195"/>
      <c r="TOQ21" s="197"/>
      <c r="TOR21" s="198"/>
      <c r="TOS21" s="199"/>
      <c r="TOT21" s="194"/>
      <c r="TOU21" s="194"/>
      <c r="TOV21" s="194"/>
      <c r="TOW21" s="195"/>
      <c r="TOX21" s="195"/>
      <c r="TOY21" s="196"/>
      <c r="TOZ21" s="195"/>
      <c r="TPA21" s="197"/>
      <c r="TPB21" s="198"/>
      <c r="TPC21" s="199"/>
      <c r="TPD21" s="194"/>
      <c r="TPE21" s="194"/>
      <c r="TPF21" s="194"/>
      <c r="TPG21" s="195"/>
      <c r="TPH21" s="195"/>
      <c r="TPI21" s="196"/>
      <c r="TPJ21" s="195"/>
      <c r="TPK21" s="197"/>
      <c r="TPL21" s="198"/>
      <c r="TPM21" s="199"/>
      <c r="TPN21" s="194"/>
      <c r="TPO21" s="194"/>
      <c r="TPP21" s="194"/>
      <c r="TPQ21" s="195"/>
      <c r="TPR21" s="195"/>
      <c r="TPS21" s="196"/>
      <c r="TPT21" s="195"/>
      <c r="TPU21" s="197"/>
      <c r="TPV21" s="198"/>
      <c r="TPW21" s="199"/>
      <c r="TPX21" s="194"/>
      <c r="TPY21" s="194"/>
      <c r="TPZ21" s="194"/>
      <c r="TQA21" s="195"/>
      <c r="TQB21" s="195"/>
      <c r="TQC21" s="196"/>
      <c r="TQD21" s="195"/>
      <c r="TQE21" s="197"/>
      <c r="TQF21" s="198"/>
      <c r="TQG21" s="199"/>
      <c r="TQH21" s="194"/>
      <c r="TQI21" s="194"/>
      <c r="TQJ21" s="194"/>
      <c r="TQK21" s="195"/>
      <c r="TQL21" s="195"/>
      <c r="TQM21" s="196"/>
      <c r="TQN21" s="195"/>
      <c r="TQO21" s="197"/>
      <c r="TQP21" s="198"/>
      <c r="TQQ21" s="199"/>
      <c r="TQR21" s="194"/>
      <c r="TQS21" s="194"/>
      <c r="TQT21" s="194"/>
      <c r="TQU21" s="195"/>
      <c r="TQV21" s="195"/>
      <c r="TQW21" s="196"/>
      <c r="TQX21" s="195"/>
      <c r="TQY21" s="197"/>
      <c r="TQZ21" s="198"/>
      <c r="TRA21" s="199"/>
      <c r="TRB21" s="194"/>
      <c r="TRC21" s="194"/>
      <c r="TRD21" s="194"/>
      <c r="TRE21" s="195"/>
      <c r="TRF21" s="195"/>
      <c r="TRG21" s="196"/>
      <c r="TRH21" s="195"/>
      <c r="TRI21" s="197"/>
      <c r="TRJ21" s="198"/>
      <c r="TRK21" s="199"/>
      <c r="TRL21" s="194"/>
      <c r="TRM21" s="194"/>
      <c r="TRN21" s="194"/>
      <c r="TRO21" s="195"/>
      <c r="TRP21" s="195"/>
      <c r="TRQ21" s="196"/>
      <c r="TRR21" s="195"/>
      <c r="TRS21" s="197"/>
      <c r="TRT21" s="198"/>
      <c r="TRU21" s="199"/>
      <c r="TRV21" s="194"/>
      <c r="TRW21" s="194"/>
      <c r="TRX21" s="194"/>
      <c r="TRY21" s="195"/>
      <c r="TRZ21" s="195"/>
      <c r="TSA21" s="196"/>
      <c r="TSB21" s="195"/>
      <c r="TSC21" s="197"/>
      <c r="TSD21" s="198"/>
      <c r="TSE21" s="199"/>
      <c r="TSF21" s="194"/>
      <c r="TSG21" s="194"/>
      <c r="TSH21" s="194"/>
      <c r="TSI21" s="195"/>
      <c r="TSJ21" s="195"/>
      <c r="TSK21" s="196"/>
      <c r="TSL21" s="195"/>
      <c r="TSM21" s="197"/>
      <c r="TSN21" s="198"/>
      <c r="TSO21" s="199"/>
      <c r="TSP21" s="194"/>
      <c r="TSQ21" s="194"/>
      <c r="TSR21" s="194"/>
      <c r="TSS21" s="195"/>
      <c r="TST21" s="195"/>
      <c r="TSU21" s="196"/>
      <c r="TSV21" s="195"/>
      <c r="TSW21" s="197"/>
      <c r="TSX21" s="198"/>
      <c r="TSY21" s="199"/>
      <c r="TSZ21" s="194"/>
      <c r="TTA21" s="194"/>
      <c r="TTB21" s="194"/>
      <c r="TTC21" s="195"/>
      <c r="TTD21" s="195"/>
      <c r="TTE21" s="196"/>
      <c r="TTF21" s="195"/>
      <c r="TTG21" s="197"/>
      <c r="TTH21" s="198"/>
      <c r="TTI21" s="199"/>
      <c r="TTJ21" s="194"/>
      <c r="TTK21" s="194"/>
      <c r="TTL21" s="194"/>
      <c r="TTM21" s="195"/>
      <c r="TTN21" s="195"/>
      <c r="TTO21" s="196"/>
      <c r="TTP21" s="195"/>
      <c r="TTQ21" s="197"/>
      <c r="TTR21" s="198"/>
      <c r="TTS21" s="199"/>
      <c r="TTT21" s="194"/>
      <c r="TTU21" s="194"/>
      <c r="TTV21" s="194"/>
      <c r="TTW21" s="195"/>
      <c r="TTX21" s="195"/>
      <c r="TTY21" s="196"/>
      <c r="TTZ21" s="195"/>
      <c r="TUA21" s="197"/>
      <c r="TUB21" s="198"/>
      <c r="TUC21" s="199"/>
      <c r="TUD21" s="194"/>
      <c r="TUE21" s="194"/>
      <c r="TUF21" s="194"/>
      <c r="TUG21" s="195"/>
      <c r="TUH21" s="195"/>
      <c r="TUI21" s="196"/>
      <c r="TUJ21" s="195"/>
      <c r="TUK21" s="197"/>
      <c r="TUL21" s="198"/>
      <c r="TUM21" s="199"/>
      <c r="TUN21" s="194"/>
      <c r="TUO21" s="194"/>
      <c r="TUP21" s="194"/>
      <c r="TUQ21" s="195"/>
      <c r="TUR21" s="195"/>
      <c r="TUS21" s="196"/>
      <c r="TUT21" s="195"/>
      <c r="TUU21" s="197"/>
      <c r="TUV21" s="198"/>
      <c r="TUW21" s="199"/>
      <c r="TUX21" s="194"/>
      <c r="TUY21" s="194"/>
      <c r="TUZ21" s="194"/>
      <c r="TVA21" s="195"/>
      <c r="TVB21" s="195"/>
      <c r="TVC21" s="196"/>
      <c r="TVD21" s="195"/>
      <c r="TVE21" s="197"/>
      <c r="TVF21" s="198"/>
      <c r="TVG21" s="199"/>
      <c r="TVH21" s="194"/>
      <c r="TVI21" s="194"/>
      <c r="TVJ21" s="194"/>
      <c r="TVK21" s="195"/>
      <c r="TVL21" s="195"/>
      <c r="TVM21" s="196"/>
      <c r="TVN21" s="195"/>
      <c r="TVO21" s="197"/>
      <c r="TVP21" s="198"/>
      <c r="TVQ21" s="199"/>
      <c r="TVR21" s="194"/>
      <c r="TVS21" s="194"/>
      <c r="TVT21" s="194"/>
      <c r="TVU21" s="195"/>
      <c r="TVV21" s="195"/>
      <c r="TVW21" s="196"/>
      <c r="TVX21" s="195"/>
      <c r="TVY21" s="197"/>
      <c r="TVZ21" s="198"/>
      <c r="TWA21" s="199"/>
      <c r="TWB21" s="194"/>
      <c r="TWC21" s="194"/>
      <c r="TWD21" s="194"/>
      <c r="TWE21" s="195"/>
      <c r="TWF21" s="195"/>
      <c r="TWG21" s="196"/>
      <c r="TWH21" s="195"/>
      <c r="TWI21" s="197"/>
      <c r="TWJ21" s="198"/>
      <c r="TWK21" s="199"/>
      <c r="TWL21" s="194"/>
      <c r="TWM21" s="194"/>
      <c r="TWN21" s="194"/>
      <c r="TWO21" s="195"/>
      <c r="TWP21" s="195"/>
      <c r="TWQ21" s="196"/>
      <c r="TWR21" s="195"/>
      <c r="TWS21" s="197"/>
      <c r="TWT21" s="198"/>
      <c r="TWU21" s="199"/>
      <c r="TWV21" s="194"/>
      <c r="TWW21" s="194"/>
      <c r="TWX21" s="194"/>
      <c r="TWY21" s="195"/>
      <c r="TWZ21" s="195"/>
      <c r="TXA21" s="196"/>
      <c r="TXB21" s="195"/>
      <c r="TXC21" s="197"/>
      <c r="TXD21" s="198"/>
      <c r="TXE21" s="199"/>
      <c r="TXF21" s="194"/>
      <c r="TXG21" s="194"/>
      <c r="TXH21" s="194"/>
      <c r="TXI21" s="195"/>
      <c r="TXJ21" s="195"/>
      <c r="TXK21" s="196"/>
      <c r="TXL21" s="195"/>
      <c r="TXM21" s="197"/>
      <c r="TXN21" s="198"/>
      <c r="TXO21" s="199"/>
      <c r="TXP21" s="194"/>
      <c r="TXQ21" s="194"/>
      <c r="TXR21" s="194"/>
      <c r="TXS21" s="195"/>
      <c r="TXT21" s="195"/>
      <c r="TXU21" s="196"/>
      <c r="TXV21" s="195"/>
      <c r="TXW21" s="197"/>
      <c r="TXX21" s="198"/>
      <c r="TXY21" s="199"/>
      <c r="TXZ21" s="194"/>
      <c r="TYA21" s="194"/>
      <c r="TYB21" s="194"/>
      <c r="TYC21" s="195"/>
      <c r="TYD21" s="195"/>
      <c r="TYE21" s="196"/>
      <c r="TYF21" s="195"/>
      <c r="TYG21" s="197"/>
      <c r="TYH21" s="198"/>
      <c r="TYI21" s="199"/>
      <c r="TYJ21" s="194"/>
      <c r="TYK21" s="194"/>
      <c r="TYL21" s="194"/>
      <c r="TYM21" s="195"/>
      <c r="TYN21" s="195"/>
      <c r="TYO21" s="196"/>
      <c r="TYP21" s="195"/>
      <c r="TYQ21" s="197"/>
      <c r="TYR21" s="198"/>
      <c r="TYS21" s="199"/>
      <c r="TYT21" s="194"/>
      <c r="TYU21" s="194"/>
      <c r="TYV21" s="194"/>
      <c r="TYW21" s="195"/>
      <c r="TYX21" s="195"/>
      <c r="TYY21" s="196"/>
      <c r="TYZ21" s="195"/>
      <c r="TZA21" s="197"/>
      <c r="TZB21" s="198"/>
      <c r="TZC21" s="199"/>
      <c r="TZD21" s="194"/>
      <c r="TZE21" s="194"/>
      <c r="TZF21" s="194"/>
      <c r="TZG21" s="195"/>
      <c r="TZH21" s="195"/>
      <c r="TZI21" s="196"/>
      <c r="TZJ21" s="195"/>
      <c r="TZK21" s="197"/>
      <c r="TZL21" s="198"/>
      <c r="TZM21" s="199"/>
      <c r="TZN21" s="194"/>
      <c r="TZO21" s="194"/>
      <c r="TZP21" s="194"/>
      <c r="TZQ21" s="195"/>
      <c r="TZR21" s="195"/>
      <c r="TZS21" s="196"/>
      <c r="TZT21" s="195"/>
      <c r="TZU21" s="197"/>
      <c r="TZV21" s="198"/>
      <c r="TZW21" s="199"/>
      <c r="TZX21" s="194"/>
      <c r="TZY21" s="194"/>
      <c r="TZZ21" s="194"/>
      <c r="UAA21" s="195"/>
      <c r="UAB21" s="195"/>
      <c r="UAC21" s="196"/>
      <c r="UAD21" s="195"/>
      <c r="UAE21" s="197"/>
      <c r="UAF21" s="198"/>
      <c r="UAG21" s="199"/>
      <c r="UAH21" s="194"/>
      <c r="UAI21" s="194"/>
      <c r="UAJ21" s="194"/>
      <c r="UAK21" s="195"/>
      <c r="UAL21" s="195"/>
      <c r="UAM21" s="196"/>
      <c r="UAN21" s="195"/>
      <c r="UAO21" s="197"/>
      <c r="UAP21" s="198"/>
      <c r="UAQ21" s="199"/>
      <c r="UAR21" s="194"/>
      <c r="UAS21" s="194"/>
      <c r="UAT21" s="194"/>
      <c r="UAU21" s="195"/>
      <c r="UAV21" s="195"/>
      <c r="UAW21" s="196"/>
      <c r="UAX21" s="195"/>
      <c r="UAY21" s="197"/>
      <c r="UAZ21" s="198"/>
      <c r="UBA21" s="199"/>
      <c r="UBB21" s="194"/>
      <c r="UBC21" s="194"/>
      <c r="UBD21" s="194"/>
      <c r="UBE21" s="195"/>
      <c r="UBF21" s="195"/>
      <c r="UBG21" s="196"/>
      <c r="UBH21" s="195"/>
      <c r="UBI21" s="197"/>
      <c r="UBJ21" s="198"/>
      <c r="UBK21" s="199"/>
      <c r="UBL21" s="194"/>
      <c r="UBM21" s="194"/>
      <c r="UBN21" s="194"/>
      <c r="UBO21" s="195"/>
      <c r="UBP21" s="195"/>
      <c r="UBQ21" s="196"/>
      <c r="UBR21" s="195"/>
      <c r="UBS21" s="197"/>
      <c r="UBT21" s="198"/>
      <c r="UBU21" s="199"/>
      <c r="UBV21" s="194"/>
      <c r="UBW21" s="194"/>
      <c r="UBX21" s="194"/>
      <c r="UBY21" s="195"/>
      <c r="UBZ21" s="195"/>
      <c r="UCA21" s="196"/>
      <c r="UCB21" s="195"/>
      <c r="UCC21" s="197"/>
      <c r="UCD21" s="198"/>
      <c r="UCE21" s="199"/>
      <c r="UCF21" s="194"/>
      <c r="UCG21" s="194"/>
      <c r="UCH21" s="194"/>
      <c r="UCI21" s="195"/>
      <c r="UCJ21" s="195"/>
      <c r="UCK21" s="196"/>
      <c r="UCL21" s="195"/>
      <c r="UCM21" s="197"/>
      <c r="UCN21" s="198"/>
      <c r="UCO21" s="199"/>
      <c r="UCP21" s="194"/>
      <c r="UCQ21" s="194"/>
      <c r="UCR21" s="194"/>
      <c r="UCS21" s="195"/>
      <c r="UCT21" s="195"/>
      <c r="UCU21" s="196"/>
      <c r="UCV21" s="195"/>
      <c r="UCW21" s="197"/>
      <c r="UCX21" s="198"/>
      <c r="UCY21" s="199"/>
      <c r="UCZ21" s="194"/>
      <c r="UDA21" s="194"/>
      <c r="UDB21" s="194"/>
      <c r="UDC21" s="195"/>
      <c r="UDD21" s="195"/>
      <c r="UDE21" s="196"/>
      <c r="UDF21" s="195"/>
      <c r="UDG21" s="197"/>
      <c r="UDH21" s="198"/>
      <c r="UDI21" s="199"/>
      <c r="UDJ21" s="194"/>
      <c r="UDK21" s="194"/>
      <c r="UDL21" s="194"/>
      <c r="UDM21" s="195"/>
      <c r="UDN21" s="195"/>
      <c r="UDO21" s="196"/>
      <c r="UDP21" s="195"/>
      <c r="UDQ21" s="197"/>
      <c r="UDR21" s="198"/>
      <c r="UDS21" s="199"/>
      <c r="UDT21" s="194"/>
      <c r="UDU21" s="194"/>
      <c r="UDV21" s="194"/>
      <c r="UDW21" s="195"/>
      <c r="UDX21" s="195"/>
      <c r="UDY21" s="196"/>
      <c r="UDZ21" s="195"/>
      <c r="UEA21" s="197"/>
      <c r="UEB21" s="198"/>
      <c r="UEC21" s="199"/>
      <c r="UED21" s="194"/>
      <c r="UEE21" s="194"/>
      <c r="UEF21" s="194"/>
      <c r="UEG21" s="195"/>
      <c r="UEH21" s="195"/>
      <c r="UEI21" s="196"/>
      <c r="UEJ21" s="195"/>
      <c r="UEK21" s="197"/>
      <c r="UEL21" s="198"/>
      <c r="UEM21" s="199"/>
      <c r="UEN21" s="194"/>
      <c r="UEO21" s="194"/>
      <c r="UEP21" s="194"/>
      <c r="UEQ21" s="195"/>
      <c r="UER21" s="195"/>
      <c r="UES21" s="196"/>
      <c r="UET21" s="195"/>
      <c r="UEU21" s="197"/>
      <c r="UEV21" s="198"/>
      <c r="UEW21" s="199"/>
      <c r="UEX21" s="194"/>
      <c r="UEY21" s="194"/>
      <c r="UEZ21" s="194"/>
      <c r="UFA21" s="195"/>
      <c r="UFB21" s="195"/>
      <c r="UFC21" s="196"/>
      <c r="UFD21" s="195"/>
      <c r="UFE21" s="197"/>
      <c r="UFF21" s="198"/>
      <c r="UFG21" s="199"/>
      <c r="UFH21" s="194"/>
      <c r="UFI21" s="194"/>
      <c r="UFJ21" s="194"/>
      <c r="UFK21" s="195"/>
      <c r="UFL21" s="195"/>
      <c r="UFM21" s="196"/>
      <c r="UFN21" s="195"/>
      <c r="UFO21" s="197"/>
      <c r="UFP21" s="198"/>
      <c r="UFQ21" s="199"/>
      <c r="UFR21" s="194"/>
      <c r="UFS21" s="194"/>
      <c r="UFT21" s="194"/>
      <c r="UFU21" s="195"/>
      <c r="UFV21" s="195"/>
      <c r="UFW21" s="196"/>
      <c r="UFX21" s="195"/>
      <c r="UFY21" s="197"/>
      <c r="UFZ21" s="198"/>
      <c r="UGA21" s="199"/>
      <c r="UGB21" s="194"/>
      <c r="UGC21" s="194"/>
      <c r="UGD21" s="194"/>
      <c r="UGE21" s="195"/>
      <c r="UGF21" s="195"/>
      <c r="UGG21" s="196"/>
      <c r="UGH21" s="195"/>
      <c r="UGI21" s="197"/>
      <c r="UGJ21" s="198"/>
      <c r="UGK21" s="199"/>
      <c r="UGL21" s="194"/>
      <c r="UGM21" s="194"/>
      <c r="UGN21" s="194"/>
      <c r="UGO21" s="195"/>
      <c r="UGP21" s="195"/>
      <c r="UGQ21" s="196"/>
      <c r="UGR21" s="195"/>
      <c r="UGS21" s="197"/>
      <c r="UGT21" s="198"/>
      <c r="UGU21" s="199"/>
      <c r="UGV21" s="194"/>
      <c r="UGW21" s="194"/>
      <c r="UGX21" s="194"/>
      <c r="UGY21" s="195"/>
      <c r="UGZ21" s="195"/>
      <c r="UHA21" s="196"/>
      <c r="UHB21" s="195"/>
      <c r="UHC21" s="197"/>
      <c r="UHD21" s="198"/>
      <c r="UHE21" s="199"/>
      <c r="UHF21" s="194"/>
      <c r="UHG21" s="194"/>
      <c r="UHH21" s="194"/>
      <c r="UHI21" s="195"/>
      <c r="UHJ21" s="195"/>
      <c r="UHK21" s="196"/>
      <c r="UHL21" s="195"/>
      <c r="UHM21" s="197"/>
      <c r="UHN21" s="198"/>
      <c r="UHO21" s="199"/>
      <c r="UHP21" s="194"/>
      <c r="UHQ21" s="194"/>
      <c r="UHR21" s="194"/>
      <c r="UHS21" s="195"/>
      <c r="UHT21" s="195"/>
      <c r="UHU21" s="196"/>
      <c r="UHV21" s="195"/>
      <c r="UHW21" s="197"/>
      <c r="UHX21" s="198"/>
      <c r="UHY21" s="199"/>
      <c r="UHZ21" s="194"/>
      <c r="UIA21" s="194"/>
      <c r="UIB21" s="194"/>
      <c r="UIC21" s="195"/>
      <c r="UID21" s="195"/>
      <c r="UIE21" s="196"/>
      <c r="UIF21" s="195"/>
      <c r="UIG21" s="197"/>
      <c r="UIH21" s="198"/>
      <c r="UII21" s="199"/>
      <c r="UIJ21" s="194"/>
      <c r="UIK21" s="194"/>
      <c r="UIL21" s="194"/>
      <c r="UIM21" s="195"/>
      <c r="UIN21" s="195"/>
      <c r="UIO21" s="196"/>
      <c r="UIP21" s="195"/>
      <c r="UIQ21" s="197"/>
      <c r="UIR21" s="198"/>
      <c r="UIS21" s="199"/>
      <c r="UIT21" s="194"/>
      <c r="UIU21" s="194"/>
      <c r="UIV21" s="194"/>
      <c r="UIW21" s="195"/>
      <c r="UIX21" s="195"/>
      <c r="UIY21" s="196"/>
      <c r="UIZ21" s="195"/>
      <c r="UJA21" s="197"/>
      <c r="UJB21" s="198"/>
      <c r="UJC21" s="199"/>
      <c r="UJD21" s="194"/>
      <c r="UJE21" s="194"/>
      <c r="UJF21" s="194"/>
      <c r="UJG21" s="195"/>
      <c r="UJH21" s="195"/>
      <c r="UJI21" s="196"/>
      <c r="UJJ21" s="195"/>
      <c r="UJK21" s="197"/>
      <c r="UJL21" s="198"/>
      <c r="UJM21" s="199"/>
      <c r="UJN21" s="194"/>
      <c r="UJO21" s="194"/>
      <c r="UJP21" s="194"/>
      <c r="UJQ21" s="195"/>
      <c r="UJR21" s="195"/>
      <c r="UJS21" s="196"/>
      <c r="UJT21" s="195"/>
      <c r="UJU21" s="197"/>
      <c r="UJV21" s="198"/>
      <c r="UJW21" s="199"/>
      <c r="UJX21" s="194"/>
      <c r="UJY21" s="194"/>
      <c r="UJZ21" s="194"/>
      <c r="UKA21" s="195"/>
      <c r="UKB21" s="195"/>
      <c r="UKC21" s="196"/>
      <c r="UKD21" s="195"/>
      <c r="UKE21" s="197"/>
      <c r="UKF21" s="198"/>
      <c r="UKG21" s="199"/>
      <c r="UKH21" s="194"/>
      <c r="UKI21" s="194"/>
      <c r="UKJ21" s="194"/>
      <c r="UKK21" s="195"/>
      <c r="UKL21" s="195"/>
      <c r="UKM21" s="196"/>
      <c r="UKN21" s="195"/>
      <c r="UKO21" s="197"/>
      <c r="UKP21" s="198"/>
      <c r="UKQ21" s="199"/>
      <c r="UKR21" s="194"/>
      <c r="UKS21" s="194"/>
      <c r="UKT21" s="194"/>
      <c r="UKU21" s="195"/>
      <c r="UKV21" s="195"/>
      <c r="UKW21" s="196"/>
      <c r="UKX21" s="195"/>
      <c r="UKY21" s="197"/>
      <c r="UKZ21" s="198"/>
      <c r="ULA21" s="199"/>
      <c r="ULB21" s="194"/>
      <c r="ULC21" s="194"/>
      <c r="ULD21" s="194"/>
      <c r="ULE21" s="195"/>
      <c r="ULF21" s="195"/>
      <c r="ULG21" s="196"/>
      <c r="ULH21" s="195"/>
      <c r="ULI21" s="197"/>
      <c r="ULJ21" s="198"/>
      <c r="ULK21" s="199"/>
      <c r="ULL21" s="194"/>
      <c r="ULM21" s="194"/>
      <c r="ULN21" s="194"/>
      <c r="ULO21" s="195"/>
      <c r="ULP21" s="195"/>
      <c r="ULQ21" s="196"/>
      <c r="ULR21" s="195"/>
      <c r="ULS21" s="197"/>
      <c r="ULT21" s="198"/>
      <c r="ULU21" s="199"/>
      <c r="ULV21" s="194"/>
      <c r="ULW21" s="194"/>
      <c r="ULX21" s="194"/>
      <c r="ULY21" s="195"/>
      <c r="ULZ21" s="195"/>
      <c r="UMA21" s="196"/>
      <c r="UMB21" s="195"/>
      <c r="UMC21" s="197"/>
      <c r="UMD21" s="198"/>
      <c r="UME21" s="199"/>
      <c r="UMF21" s="194"/>
      <c r="UMG21" s="194"/>
      <c r="UMH21" s="194"/>
      <c r="UMI21" s="195"/>
      <c r="UMJ21" s="195"/>
      <c r="UMK21" s="196"/>
      <c r="UML21" s="195"/>
      <c r="UMM21" s="197"/>
      <c r="UMN21" s="198"/>
      <c r="UMO21" s="199"/>
      <c r="UMP21" s="194"/>
      <c r="UMQ21" s="194"/>
      <c r="UMR21" s="194"/>
      <c r="UMS21" s="195"/>
      <c r="UMT21" s="195"/>
      <c r="UMU21" s="196"/>
      <c r="UMV21" s="195"/>
      <c r="UMW21" s="197"/>
      <c r="UMX21" s="198"/>
      <c r="UMY21" s="199"/>
      <c r="UMZ21" s="194"/>
      <c r="UNA21" s="194"/>
      <c r="UNB21" s="194"/>
      <c r="UNC21" s="195"/>
      <c r="UND21" s="195"/>
      <c r="UNE21" s="196"/>
      <c r="UNF21" s="195"/>
      <c r="UNG21" s="197"/>
      <c r="UNH21" s="198"/>
      <c r="UNI21" s="199"/>
      <c r="UNJ21" s="194"/>
      <c r="UNK21" s="194"/>
      <c r="UNL21" s="194"/>
      <c r="UNM21" s="195"/>
      <c r="UNN21" s="195"/>
      <c r="UNO21" s="196"/>
      <c r="UNP21" s="195"/>
      <c r="UNQ21" s="197"/>
      <c r="UNR21" s="198"/>
      <c r="UNS21" s="199"/>
      <c r="UNT21" s="194"/>
      <c r="UNU21" s="194"/>
      <c r="UNV21" s="194"/>
      <c r="UNW21" s="195"/>
      <c r="UNX21" s="195"/>
      <c r="UNY21" s="196"/>
      <c r="UNZ21" s="195"/>
      <c r="UOA21" s="197"/>
      <c r="UOB21" s="198"/>
      <c r="UOC21" s="199"/>
      <c r="UOD21" s="194"/>
      <c r="UOE21" s="194"/>
      <c r="UOF21" s="194"/>
      <c r="UOG21" s="195"/>
      <c r="UOH21" s="195"/>
      <c r="UOI21" s="196"/>
      <c r="UOJ21" s="195"/>
      <c r="UOK21" s="197"/>
      <c r="UOL21" s="198"/>
      <c r="UOM21" s="199"/>
      <c r="UON21" s="194"/>
      <c r="UOO21" s="194"/>
      <c r="UOP21" s="194"/>
      <c r="UOQ21" s="195"/>
      <c r="UOR21" s="195"/>
      <c r="UOS21" s="196"/>
      <c r="UOT21" s="195"/>
      <c r="UOU21" s="197"/>
      <c r="UOV21" s="198"/>
      <c r="UOW21" s="199"/>
      <c r="UOX21" s="194"/>
      <c r="UOY21" s="194"/>
      <c r="UOZ21" s="194"/>
      <c r="UPA21" s="195"/>
      <c r="UPB21" s="195"/>
      <c r="UPC21" s="196"/>
      <c r="UPD21" s="195"/>
      <c r="UPE21" s="197"/>
      <c r="UPF21" s="198"/>
      <c r="UPG21" s="199"/>
      <c r="UPH21" s="194"/>
      <c r="UPI21" s="194"/>
      <c r="UPJ21" s="194"/>
      <c r="UPK21" s="195"/>
      <c r="UPL21" s="195"/>
      <c r="UPM21" s="196"/>
      <c r="UPN21" s="195"/>
      <c r="UPO21" s="197"/>
      <c r="UPP21" s="198"/>
      <c r="UPQ21" s="199"/>
      <c r="UPR21" s="194"/>
      <c r="UPS21" s="194"/>
      <c r="UPT21" s="194"/>
      <c r="UPU21" s="195"/>
      <c r="UPV21" s="195"/>
      <c r="UPW21" s="196"/>
      <c r="UPX21" s="195"/>
      <c r="UPY21" s="197"/>
      <c r="UPZ21" s="198"/>
      <c r="UQA21" s="199"/>
      <c r="UQB21" s="194"/>
      <c r="UQC21" s="194"/>
      <c r="UQD21" s="194"/>
      <c r="UQE21" s="195"/>
      <c r="UQF21" s="195"/>
      <c r="UQG21" s="196"/>
      <c r="UQH21" s="195"/>
      <c r="UQI21" s="197"/>
      <c r="UQJ21" s="198"/>
      <c r="UQK21" s="199"/>
      <c r="UQL21" s="194"/>
      <c r="UQM21" s="194"/>
      <c r="UQN21" s="194"/>
      <c r="UQO21" s="195"/>
      <c r="UQP21" s="195"/>
      <c r="UQQ21" s="196"/>
      <c r="UQR21" s="195"/>
      <c r="UQS21" s="197"/>
      <c r="UQT21" s="198"/>
      <c r="UQU21" s="199"/>
      <c r="UQV21" s="194"/>
      <c r="UQW21" s="194"/>
      <c r="UQX21" s="194"/>
      <c r="UQY21" s="195"/>
      <c r="UQZ21" s="195"/>
      <c r="URA21" s="196"/>
      <c r="URB21" s="195"/>
      <c r="URC21" s="197"/>
      <c r="URD21" s="198"/>
      <c r="URE21" s="199"/>
      <c r="URF21" s="194"/>
      <c r="URG21" s="194"/>
      <c r="URH21" s="194"/>
      <c r="URI21" s="195"/>
      <c r="URJ21" s="195"/>
      <c r="URK21" s="196"/>
      <c r="URL21" s="195"/>
      <c r="URM21" s="197"/>
      <c r="URN21" s="198"/>
      <c r="URO21" s="199"/>
      <c r="URP21" s="194"/>
      <c r="URQ21" s="194"/>
      <c r="URR21" s="194"/>
      <c r="URS21" s="195"/>
      <c r="URT21" s="195"/>
      <c r="URU21" s="196"/>
      <c r="URV21" s="195"/>
      <c r="URW21" s="197"/>
      <c r="URX21" s="198"/>
      <c r="URY21" s="199"/>
      <c r="URZ21" s="194"/>
      <c r="USA21" s="194"/>
      <c r="USB21" s="194"/>
      <c r="USC21" s="195"/>
      <c r="USD21" s="195"/>
      <c r="USE21" s="196"/>
      <c r="USF21" s="195"/>
      <c r="USG21" s="197"/>
      <c r="USH21" s="198"/>
      <c r="USI21" s="199"/>
      <c r="USJ21" s="194"/>
      <c r="USK21" s="194"/>
      <c r="USL21" s="194"/>
      <c r="USM21" s="195"/>
      <c r="USN21" s="195"/>
      <c r="USO21" s="196"/>
      <c r="USP21" s="195"/>
      <c r="USQ21" s="197"/>
      <c r="USR21" s="198"/>
      <c r="USS21" s="199"/>
      <c r="UST21" s="194"/>
      <c r="USU21" s="194"/>
      <c r="USV21" s="194"/>
      <c r="USW21" s="195"/>
      <c r="USX21" s="195"/>
      <c r="USY21" s="196"/>
      <c r="USZ21" s="195"/>
      <c r="UTA21" s="197"/>
      <c r="UTB21" s="198"/>
      <c r="UTC21" s="199"/>
      <c r="UTD21" s="194"/>
      <c r="UTE21" s="194"/>
      <c r="UTF21" s="194"/>
      <c r="UTG21" s="195"/>
      <c r="UTH21" s="195"/>
      <c r="UTI21" s="196"/>
      <c r="UTJ21" s="195"/>
      <c r="UTK21" s="197"/>
      <c r="UTL21" s="198"/>
      <c r="UTM21" s="199"/>
      <c r="UTN21" s="194"/>
      <c r="UTO21" s="194"/>
      <c r="UTP21" s="194"/>
      <c r="UTQ21" s="195"/>
      <c r="UTR21" s="195"/>
      <c r="UTS21" s="196"/>
      <c r="UTT21" s="195"/>
      <c r="UTU21" s="197"/>
      <c r="UTV21" s="198"/>
      <c r="UTW21" s="199"/>
      <c r="UTX21" s="194"/>
      <c r="UTY21" s="194"/>
      <c r="UTZ21" s="194"/>
      <c r="UUA21" s="195"/>
      <c r="UUB21" s="195"/>
      <c r="UUC21" s="196"/>
      <c r="UUD21" s="195"/>
      <c r="UUE21" s="197"/>
      <c r="UUF21" s="198"/>
      <c r="UUG21" s="199"/>
      <c r="UUH21" s="194"/>
      <c r="UUI21" s="194"/>
      <c r="UUJ21" s="194"/>
      <c r="UUK21" s="195"/>
      <c r="UUL21" s="195"/>
      <c r="UUM21" s="196"/>
      <c r="UUN21" s="195"/>
      <c r="UUO21" s="197"/>
      <c r="UUP21" s="198"/>
      <c r="UUQ21" s="199"/>
      <c r="UUR21" s="194"/>
      <c r="UUS21" s="194"/>
      <c r="UUT21" s="194"/>
      <c r="UUU21" s="195"/>
      <c r="UUV21" s="195"/>
      <c r="UUW21" s="196"/>
      <c r="UUX21" s="195"/>
      <c r="UUY21" s="197"/>
      <c r="UUZ21" s="198"/>
      <c r="UVA21" s="199"/>
      <c r="UVB21" s="194"/>
      <c r="UVC21" s="194"/>
      <c r="UVD21" s="194"/>
      <c r="UVE21" s="195"/>
      <c r="UVF21" s="195"/>
      <c r="UVG21" s="196"/>
      <c r="UVH21" s="195"/>
      <c r="UVI21" s="197"/>
      <c r="UVJ21" s="198"/>
      <c r="UVK21" s="199"/>
      <c r="UVL21" s="194"/>
      <c r="UVM21" s="194"/>
      <c r="UVN21" s="194"/>
      <c r="UVO21" s="195"/>
      <c r="UVP21" s="195"/>
      <c r="UVQ21" s="196"/>
      <c r="UVR21" s="195"/>
      <c r="UVS21" s="197"/>
      <c r="UVT21" s="198"/>
      <c r="UVU21" s="199"/>
      <c r="UVV21" s="194"/>
      <c r="UVW21" s="194"/>
      <c r="UVX21" s="194"/>
      <c r="UVY21" s="195"/>
      <c r="UVZ21" s="195"/>
      <c r="UWA21" s="196"/>
      <c r="UWB21" s="195"/>
      <c r="UWC21" s="197"/>
      <c r="UWD21" s="198"/>
      <c r="UWE21" s="199"/>
      <c r="UWF21" s="194"/>
      <c r="UWG21" s="194"/>
      <c r="UWH21" s="194"/>
      <c r="UWI21" s="195"/>
      <c r="UWJ21" s="195"/>
      <c r="UWK21" s="196"/>
      <c r="UWL21" s="195"/>
      <c r="UWM21" s="197"/>
      <c r="UWN21" s="198"/>
      <c r="UWO21" s="199"/>
      <c r="UWP21" s="194"/>
      <c r="UWQ21" s="194"/>
      <c r="UWR21" s="194"/>
      <c r="UWS21" s="195"/>
      <c r="UWT21" s="195"/>
      <c r="UWU21" s="196"/>
      <c r="UWV21" s="195"/>
      <c r="UWW21" s="197"/>
      <c r="UWX21" s="198"/>
      <c r="UWY21" s="199"/>
      <c r="UWZ21" s="194"/>
      <c r="UXA21" s="194"/>
      <c r="UXB21" s="194"/>
      <c r="UXC21" s="195"/>
      <c r="UXD21" s="195"/>
      <c r="UXE21" s="196"/>
      <c r="UXF21" s="195"/>
      <c r="UXG21" s="197"/>
      <c r="UXH21" s="198"/>
      <c r="UXI21" s="199"/>
      <c r="UXJ21" s="194"/>
      <c r="UXK21" s="194"/>
      <c r="UXL21" s="194"/>
      <c r="UXM21" s="195"/>
      <c r="UXN21" s="195"/>
      <c r="UXO21" s="196"/>
      <c r="UXP21" s="195"/>
      <c r="UXQ21" s="197"/>
      <c r="UXR21" s="198"/>
      <c r="UXS21" s="199"/>
      <c r="UXT21" s="194"/>
      <c r="UXU21" s="194"/>
      <c r="UXV21" s="194"/>
      <c r="UXW21" s="195"/>
      <c r="UXX21" s="195"/>
      <c r="UXY21" s="196"/>
      <c r="UXZ21" s="195"/>
      <c r="UYA21" s="197"/>
      <c r="UYB21" s="198"/>
      <c r="UYC21" s="199"/>
      <c r="UYD21" s="194"/>
      <c r="UYE21" s="194"/>
      <c r="UYF21" s="194"/>
      <c r="UYG21" s="195"/>
      <c r="UYH21" s="195"/>
      <c r="UYI21" s="196"/>
      <c r="UYJ21" s="195"/>
      <c r="UYK21" s="197"/>
      <c r="UYL21" s="198"/>
      <c r="UYM21" s="199"/>
      <c r="UYN21" s="194"/>
      <c r="UYO21" s="194"/>
      <c r="UYP21" s="194"/>
      <c r="UYQ21" s="195"/>
      <c r="UYR21" s="195"/>
      <c r="UYS21" s="196"/>
      <c r="UYT21" s="195"/>
      <c r="UYU21" s="197"/>
      <c r="UYV21" s="198"/>
      <c r="UYW21" s="199"/>
      <c r="UYX21" s="194"/>
      <c r="UYY21" s="194"/>
      <c r="UYZ21" s="194"/>
      <c r="UZA21" s="195"/>
      <c r="UZB21" s="195"/>
      <c r="UZC21" s="196"/>
      <c r="UZD21" s="195"/>
      <c r="UZE21" s="197"/>
      <c r="UZF21" s="198"/>
      <c r="UZG21" s="199"/>
      <c r="UZH21" s="194"/>
      <c r="UZI21" s="194"/>
      <c r="UZJ21" s="194"/>
      <c r="UZK21" s="195"/>
      <c r="UZL21" s="195"/>
      <c r="UZM21" s="196"/>
      <c r="UZN21" s="195"/>
      <c r="UZO21" s="197"/>
      <c r="UZP21" s="198"/>
      <c r="UZQ21" s="199"/>
      <c r="UZR21" s="194"/>
      <c r="UZS21" s="194"/>
      <c r="UZT21" s="194"/>
      <c r="UZU21" s="195"/>
      <c r="UZV21" s="195"/>
      <c r="UZW21" s="196"/>
      <c r="UZX21" s="195"/>
      <c r="UZY21" s="197"/>
      <c r="UZZ21" s="198"/>
      <c r="VAA21" s="199"/>
      <c r="VAB21" s="194"/>
      <c r="VAC21" s="194"/>
      <c r="VAD21" s="194"/>
      <c r="VAE21" s="195"/>
      <c r="VAF21" s="195"/>
      <c r="VAG21" s="196"/>
      <c r="VAH21" s="195"/>
      <c r="VAI21" s="197"/>
      <c r="VAJ21" s="198"/>
      <c r="VAK21" s="199"/>
      <c r="VAL21" s="194"/>
      <c r="VAM21" s="194"/>
      <c r="VAN21" s="194"/>
      <c r="VAO21" s="195"/>
      <c r="VAP21" s="195"/>
      <c r="VAQ21" s="196"/>
      <c r="VAR21" s="195"/>
      <c r="VAS21" s="197"/>
      <c r="VAT21" s="198"/>
      <c r="VAU21" s="199"/>
      <c r="VAV21" s="194"/>
      <c r="VAW21" s="194"/>
      <c r="VAX21" s="194"/>
      <c r="VAY21" s="195"/>
      <c r="VAZ21" s="195"/>
      <c r="VBA21" s="196"/>
      <c r="VBB21" s="195"/>
      <c r="VBC21" s="197"/>
      <c r="VBD21" s="198"/>
      <c r="VBE21" s="199"/>
      <c r="VBF21" s="194"/>
      <c r="VBG21" s="194"/>
      <c r="VBH21" s="194"/>
      <c r="VBI21" s="195"/>
      <c r="VBJ21" s="195"/>
      <c r="VBK21" s="196"/>
      <c r="VBL21" s="195"/>
      <c r="VBM21" s="197"/>
      <c r="VBN21" s="198"/>
      <c r="VBO21" s="199"/>
      <c r="VBP21" s="194"/>
      <c r="VBQ21" s="194"/>
      <c r="VBR21" s="194"/>
      <c r="VBS21" s="195"/>
      <c r="VBT21" s="195"/>
      <c r="VBU21" s="196"/>
      <c r="VBV21" s="195"/>
      <c r="VBW21" s="197"/>
      <c r="VBX21" s="198"/>
      <c r="VBY21" s="199"/>
      <c r="VBZ21" s="194"/>
      <c r="VCA21" s="194"/>
      <c r="VCB21" s="194"/>
      <c r="VCC21" s="195"/>
      <c r="VCD21" s="195"/>
      <c r="VCE21" s="196"/>
      <c r="VCF21" s="195"/>
      <c r="VCG21" s="197"/>
      <c r="VCH21" s="198"/>
      <c r="VCI21" s="199"/>
      <c r="VCJ21" s="194"/>
      <c r="VCK21" s="194"/>
      <c r="VCL21" s="194"/>
      <c r="VCM21" s="195"/>
      <c r="VCN21" s="195"/>
      <c r="VCO21" s="196"/>
      <c r="VCP21" s="195"/>
      <c r="VCQ21" s="197"/>
      <c r="VCR21" s="198"/>
      <c r="VCS21" s="199"/>
      <c r="VCT21" s="194"/>
      <c r="VCU21" s="194"/>
      <c r="VCV21" s="194"/>
      <c r="VCW21" s="195"/>
      <c r="VCX21" s="195"/>
      <c r="VCY21" s="196"/>
      <c r="VCZ21" s="195"/>
      <c r="VDA21" s="197"/>
      <c r="VDB21" s="198"/>
      <c r="VDC21" s="199"/>
      <c r="VDD21" s="194"/>
      <c r="VDE21" s="194"/>
      <c r="VDF21" s="194"/>
      <c r="VDG21" s="195"/>
      <c r="VDH21" s="195"/>
      <c r="VDI21" s="196"/>
      <c r="VDJ21" s="195"/>
      <c r="VDK21" s="197"/>
      <c r="VDL21" s="198"/>
      <c r="VDM21" s="199"/>
      <c r="VDN21" s="194"/>
      <c r="VDO21" s="194"/>
      <c r="VDP21" s="194"/>
      <c r="VDQ21" s="195"/>
      <c r="VDR21" s="195"/>
      <c r="VDS21" s="196"/>
      <c r="VDT21" s="195"/>
      <c r="VDU21" s="197"/>
      <c r="VDV21" s="198"/>
      <c r="VDW21" s="199"/>
      <c r="VDX21" s="194"/>
      <c r="VDY21" s="194"/>
      <c r="VDZ21" s="194"/>
      <c r="VEA21" s="195"/>
      <c r="VEB21" s="195"/>
      <c r="VEC21" s="196"/>
      <c r="VED21" s="195"/>
      <c r="VEE21" s="197"/>
      <c r="VEF21" s="198"/>
      <c r="VEG21" s="199"/>
      <c r="VEH21" s="194"/>
      <c r="VEI21" s="194"/>
      <c r="VEJ21" s="194"/>
      <c r="VEK21" s="195"/>
      <c r="VEL21" s="195"/>
      <c r="VEM21" s="196"/>
      <c r="VEN21" s="195"/>
      <c r="VEO21" s="197"/>
      <c r="VEP21" s="198"/>
      <c r="VEQ21" s="199"/>
      <c r="VER21" s="194"/>
      <c r="VES21" s="194"/>
      <c r="VET21" s="194"/>
      <c r="VEU21" s="195"/>
      <c r="VEV21" s="195"/>
      <c r="VEW21" s="196"/>
      <c r="VEX21" s="195"/>
      <c r="VEY21" s="197"/>
      <c r="VEZ21" s="198"/>
      <c r="VFA21" s="199"/>
      <c r="VFB21" s="194"/>
      <c r="VFC21" s="194"/>
      <c r="VFD21" s="194"/>
      <c r="VFE21" s="195"/>
      <c r="VFF21" s="195"/>
      <c r="VFG21" s="196"/>
      <c r="VFH21" s="195"/>
      <c r="VFI21" s="197"/>
      <c r="VFJ21" s="198"/>
      <c r="VFK21" s="199"/>
      <c r="VFL21" s="194"/>
      <c r="VFM21" s="194"/>
      <c r="VFN21" s="194"/>
      <c r="VFO21" s="195"/>
      <c r="VFP21" s="195"/>
      <c r="VFQ21" s="196"/>
      <c r="VFR21" s="195"/>
      <c r="VFS21" s="197"/>
      <c r="VFT21" s="198"/>
      <c r="VFU21" s="199"/>
      <c r="VFV21" s="194"/>
      <c r="VFW21" s="194"/>
      <c r="VFX21" s="194"/>
      <c r="VFY21" s="195"/>
      <c r="VFZ21" s="195"/>
      <c r="VGA21" s="196"/>
      <c r="VGB21" s="195"/>
      <c r="VGC21" s="197"/>
      <c r="VGD21" s="198"/>
      <c r="VGE21" s="199"/>
      <c r="VGF21" s="194"/>
      <c r="VGG21" s="194"/>
      <c r="VGH21" s="194"/>
      <c r="VGI21" s="195"/>
      <c r="VGJ21" s="195"/>
      <c r="VGK21" s="196"/>
      <c r="VGL21" s="195"/>
      <c r="VGM21" s="197"/>
      <c r="VGN21" s="198"/>
      <c r="VGO21" s="199"/>
      <c r="VGP21" s="194"/>
      <c r="VGQ21" s="194"/>
      <c r="VGR21" s="194"/>
      <c r="VGS21" s="195"/>
      <c r="VGT21" s="195"/>
      <c r="VGU21" s="196"/>
      <c r="VGV21" s="195"/>
      <c r="VGW21" s="197"/>
      <c r="VGX21" s="198"/>
      <c r="VGY21" s="199"/>
      <c r="VGZ21" s="194"/>
      <c r="VHA21" s="194"/>
      <c r="VHB21" s="194"/>
      <c r="VHC21" s="195"/>
      <c r="VHD21" s="195"/>
      <c r="VHE21" s="196"/>
      <c r="VHF21" s="195"/>
      <c r="VHG21" s="197"/>
      <c r="VHH21" s="198"/>
      <c r="VHI21" s="199"/>
      <c r="VHJ21" s="194"/>
      <c r="VHK21" s="194"/>
      <c r="VHL21" s="194"/>
      <c r="VHM21" s="195"/>
      <c r="VHN21" s="195"/>
      <c r="VHO21" s="196"/>
      <c r="VHP21" s="195"/>
      <c r="VHQ21" s="197"/>
      <c r="VHR21" s="198"/>
      <c r="VHS21" s="199"/>
      <c r="VHT21" s="194"/>
      <c r="VHU21" s="194"/>
      <c r="VHV21" s="194"/>
      <c r="VHW21" s="195"/>
      <c r="VHX21" s="195"/>
      <c r="VHY21" s="196"/>
      <c r="VHZ21" s="195"/>
      <c r="VIA21" s="197"/>
      <c r="VIB21" s="198"/>
      <c r="VIC21" s="199"/>
      <c r="VID21" s="194"/>
      <c r="VIE21" s="194"/>
      <c r="VIF21" s="194"/>
      <c r="VIG21" s="195"/>
      <c r="VIH21" s="195"/>
      <c r="VII21" s="196"/>
      <c r="VIJ21" s="195"/>
      <c r="VIK21" s="197"/>
      <c r="VIL21" s="198"/>
      <c r="VIM21" s="199"/>
      <c r="VIN21" s="194"/>
      <c r="VIO21" s="194"/>
      <c r="VIP21" s="194"/>
      <c r="VIQ21" s="195"/>
      <c r="VIR21" s="195"/>
      <c r="VIS21" s="196"/>
      <c r="VIT21" s="195"/>
      <c r="VIU21" s="197"/>
      <c r="VIV21" s="198"/>
      <c r="VIW21" s="199"/>
      <c r="VIX21" s="194"/>
      <c r="VIY21" s="194"/>
      <c r="VIZ21" s="194"/>
      <c r="VJA21" s="195"/>
      <c r="VJB21" s="195"/>
      <c r="VJC21" s="196"/>
      <c r="VJD21" s="195"/>
      <c r="VJE21" s="197"/>
      <c r="VJF21" s="198"/>
      <c r="VJG21" s="199"/>
      <c r="VJH21" s="194"/>
      <c r="VJI21" s="194"/>
      <c r="VJJ21" s="194"/>
      <c r="VJK21" s="195"/>
      <c r="VJL21" s="195"/>
      <c r="VJM21" s="196"/>
      <c r="VJN21" s="195"/>
      <c r="VJO21" s="197"/>
      <c r="VJP21" s="198"/>
      <c r="VJQ21" s="199"/>
      <c r="VJR21" s="194"/>
      <c r="VJS21" s="194"/>
      <c r="VJT21" s="194"/>
      <c r="VJU21" s="195"/>
      <c r="VJV21" s="195"/>
      <c r="VJW21" s="196"/>
      <c r="VJX21" s="195"/>
      <c r="VJY21" s="197"/>
      <c r="VJZ21" s="198"/>
      <c r="VKA21" s="199"/>
      <c r="VKB21" s="194"/>
      <c r="VKC21" s="194"/>
      <c r="VKD21" s="194"/>
      <c r="VKE21" s="195"/>
      <c r="VKF21" s="195"/>
      <c r="VKG21" s="196"/>
      <c r="VKH21" s="195"/>
      <c r="VKI21" s="197"/>
      <c r="VKJ21" s="198"/>
      <c r="VKK21" s="199"/>
      <c r="VKL21" s="194"/>
      <c r="VKM21" s="194"/>
      <c r="VKN21" s="194"/>
      <c r="VKO21" s="195"/>
      <c r="VKP21" s="195"/>
      <c r="VKQ21" s="196"/>
      <c r="VKR21" s="195"/>
      <c r="VKS21" s="197"/>
      <c r="VKT21" s="198"/>
      <c r="VKU21" s="199"/>
      <c r="VKV21" s="194"/>
      <c r="VKW21" s="194"/>
      <c r="VKX21" s="194"/>
      <c r="VKY21" s="195"/>
      <c r="VKZ21" s="195"/>
      <c r="VLA21" s="196"/>
      <c r="VLB21" s="195"/>
      <c r="VLC21" s="197"/>
      <c r="VLD21" s="198"/>
      <c r="VLE21" s="199"/>
      <c r="VLF21" s="194"/>
      <c r="VLG21" s="194"/>
      <c r="VLH21" s="194"/>
      <c r="VLI21" s="195"/>
      <c r="VLJ21" s="195"/>
      <c r="VLK21" s="196"/>
      <c r="VLL21" s="195"/>
      <c r="VLM21" s="197"/>
      <c r="VLN21" s="198"/>
      <c r="VLO21" s="199"/>
      <c r="VLP21" s="194"/>
      <c r="VLQ21" s="194"/>
      <c r="VLR21" s="194"/>
      <c r="VLS21" s="195"/>
      <c r="VLT21" s="195"/>
      <c r="VLU21" s="196"/>
      <c r="VLV21" s="195"/>
      <c r="VLW21" s="197"/>
      <c r="VLX21" s="198"/>
      <c r="VLY21" s="199"/>
      <c r="VLZ21" s="194"/>
      <c r="VMA21" s="194"/>
      <c r="VMB21" s="194"/>
      <c r="VMC21" s="195"/>
      <c r="VMD21" s="195"/>
      <c r="VME21" s="196"/>
      <c r="VMF21" s="195"/>
      <c r="VMG21" s="197"/>
      <c r="VMH21" s="198"/>
      <c r="VMI21" s="199"/>
      <c r="VMJ21" s="194"/>
      <c r="VMK21" s="194"/>
      <c r="VML21" s="194"/>
      <c r="VMM21" s="195"/>
      <c r="VMN21" s="195"/>
      <c r="VMO21" s="196"/>
      <c r="VMP21" s="195"/>
      <c r="VMQ21" s="197"/>
      <c r="VMR21" s="198"/>
      <c r="VMS21" s="199"/>
      <c r="VMT21" s="194"/>
      <c r="VMU21" s="194"/>
      <c r="VMV21" s="194"/>
      <c r="VMW21" s="195"/>
      <c r="VMX21" s="195"/>
      <c r="VMY21" s="196"/>
      <c r="VMZ21" s="195"/>
      <c r="VNA21" s="197"/>
      <c r="VNB21" s="198"/>
      <c r="VNC21" s="199"/>
      <c r="VND21" s="194"/>
      <c r="VNE21" s="194"/>
      <c r="VNF21" s="194"/>
      <c r="VNG21" s="195"/>
      <c r="VNH21" s="195"/>
      <c r="VNI21" s="196"/>
      <c r="VNJ21" s="195"/>
      <c r="VNK21" s="197"/>
      <c r="VNL21" s="198"/>
      <c r="VNM21" s="199"/>
      <c r="VNN21" s="194"/>
      <c r="VNO21" s="194"/>
      <c r="VNP21" s="194"/>
      <c r="VNQ21" s="195"/>
      <c r="VNR21" s="195"/>
      <c r="VNS21" s="196"/>
      <c r="VNT21" s="195"/>
      <c r="VNU21" s="197"/>
      <c r="VNV21" s="198"/>
      <c r="VNW21" s="199"/>
      <c r="VNX21" s="194"/>
      <c r="VNY21" s="194"/>
      <c r="VNZ21" s="194"/>
      <c r="VOA21" s="195"/>
      <c r="VOB21" s="195"/>
      <c r="VOC21" s="196"/>
      <c r="VOD21" s="195"/>
      <c r="VOE21" s="197"/>
      <c r="VOF21" s="198"/>
      <c r="VOG21" s="199"/>
      <c r="VOH21" s="194"/>
      <c r="VOI21" s="194"/>
      <c r="VOJ21" s="194"/>
      <c r="VOK21" s="195"/>
      <c r="VOL21" s="195"/>
      <c r="VOM21" s="196"/>
      <c r="VON21" s="195"/>
      <c r="VOO21" s="197"/>
      <c r="VOP21" s="198"/>
      <c r="VOQ21" s="199"/>
      <c r="VOR21" s="194"/>
      <c r="VOS21" s="194"/>
      <c r="VOT21" s="194"/>
      <c r="VOU21" s="195"/>
      <c r="VOV21" s="195"/>
      <c r="VOW21" s="196"/>
      <c r="VOX21" s="195"/>
      <c r="VOY21" s="197"/>
      <c r="VOZ21" s="198"/>
      <c r="VPA21" s="199"/>
      <c r="VPB21" s="194"/>
      <c r="VPC21" s="194"/>
      <c r="VPD21" s="194"/>
      <c r="VPE21" s="195"/>
      <c r="VPF21" s="195"/>
      <c r="VPG21" s="196"/>
      <c r="VPH21" s="195"/>
      <c r="VPI21" s="197"/>
      <c r="VPJ21" s="198"/>
      <c r="VPK21" s="199"/>
      <c r="VPL21" s="194"/>
      <c r="VPM21" s="194"/>
      <c r="VPN21" s="194"/>
      <c r="VPO21" s="195"/>
      <c r="VPP21" s="195"/>
      <c r="VPQ21" s="196"/>
      <c r="VPR21" s="195"/>
      <c r="VPS21" s="197"/>
      <c r="VPT21" s="198"/>
      <c r="VPU21" s="199"/>
      <c r="VPV21" s="194"/>
      <c r="VPW21" s="194"/>
      <c r="VPX21" s="194"/>
      <c r="VPY21" s="195"/>
      <c r="VPZ21" s="195"/>
      <c r="VQA21" s="196"/>
      <c r="VQB21" s="195"/>
      <c r="VQC21" s="197"/>
      <c r="VQD21" s="198"/>
      <c r="VQE21" s="199"/>
      <c r="VQF21" s="194"/>
      <c r="VQG21" s="194"/>
      <c r="VQH21" s="194"/>
      <c r="VQI21" s="195"/>
      <c r="VQJ21" s="195"/>
      <c r="VQK21" s="196"/>
      <c r="VQL21" s="195"/>
      <c r="VQM21" s="197"/>
      <c r="VQN21" s="198"/>
      <c r="VQO21" s="199"/>
      <c r="VQP21" s="194"/>
      <c r="VQQ21" s="194"/>
      <c r="VQR21" s="194"/>
      <c r="VQS21" s="195"/>
      <c r="VQT21" s="195"/>
      <c r="VQU21" s="196"/>
      <c r="VQV21" s="195"/>
      <c r="VQW21" s="197"/>
      <c r="VQX21" s="198"/>
      <c r="VQY21" s="199"/>
      <c r="VQZ21" s="194"/>
      <c r="VRA21" s="194"/>
      <c r="VRB21" s="194"/>
      <c r="VRC21" s="195"/>
      <c r="VRD21" s="195"/>
      <c r="VRE21" s="196"/>
      <c r="VRF21" s="195"/>
      <c r="VRG21" s="197"/>
      <c r="VRH21" s="198"/>
      <c r="VRI21" s="199"/>
      <c r="VRJ21" s="194"/>
      <c r="VRK21" s="194"/>
      <c r="VRL21" s="194"/>
      <c r="VRM21" s="195"/>
      <c r="VRN21" s="195"/>
      <c r="VRO21" s="196"/>
      <c r="VRP21" s="195"/>
      <c r="VRQ21" s="197"/>
      <c r="VRR21" s="198"/>
      <c r="VRS21" s="199"/>
      <c r="VRT21" s="194"/>
      <c r="VRU21" s="194"/>
      <c r="VRV21" s="194"/>
      <c r="VRW21" s="195"/>
      <c r="VRX21" s="195"/>
      <c r="VRY21" s="196"/>
      <c r="VRZ21" s="195"/>
      <c r="VSA21" s="197"/>
      <c r="VSB21" s="198"/>
      <c r="VSC21" s="199"/>
      <c r="VSD21" s="194"/>
      <c r="VSE21" s="194"/>
      <c r="VSF21" s="194"/>
      <c r="VSG21" s="195"/>
      <c r="VSH21" s="195"/>
      <c r="VSI21" s="196"/>
      <c r="VSJ21" s="195"/>
      <c r="VSK21" s="197"/>
      <c r="VSL21" s="198"/>
      <c r="VSM21" s="199"/>
      <c r="VSN21" s="194"/>
      <c r="VSO21" s="194"/>
      <c r="VSP21" s="194"/>
      <c r="VSQ21" s="195"/>
      <c r="VSR21" s="195"/>
      <c r="VSS21" s="196"/>
      <c r="VST21" s="195"/>
      <c r="VSU21" s="197"/>
      <c r="VSV21" s="198"/>
      <c r="VSW21" s="199"/>
      <c r="VSX21" s="194"/>
      <c r="VSY21" s="194"/>
      <c r="VSZ21" s="194"/>
      <c r="VTA21" s="195"/>
      <c r="VTB21" s="195"/>
      <c r="VTC21" s="196"/>
      <c r="VTD21" s="195"/>
      <c r="VTE21" s="197"/>
      <c r="VTF21" s="198"/>
      <c r="VTG21" s="199"/>
      <c r="VTH21" s="194"/>
      <c r="VTI21" s="194"/>
      <c r="VTJ21" s="194"/>
      <c r="VTK21" s="195"/>
      <c r="VTL21" s="195"/>
      <c r="VTM21" s="196"/>
      <c r="VTN21" s="195"/>
      <c r="VTO21" s="197"/>
      <c r="VTP21" s="198"/>
      <c r="VTQ21" s="199"/>
      <c r="VTR21" s="194"/>
      <c r="VTS21" s="194"/>
      <c r="VTT21" s="194"/>
      <c r="VTU21" s="195"/>
      <c r="VTV21" s="195"/>
      <c r="VTW21" s="196"/>
      <c r="VTX21" s="195"/>
      <c r="VTY21" s="197"/>
      <c r="VTZ21" s="198"/>
      <c r="VUA21" s="199"/>
      <c r="VUB21" s="194"/>
      <c r="VUC21" s="194"/>
      <c r="VUD21" s="194"/>
      <c r="VUE21" s="195"/>
      <c r="VUF21" s="195"/>
      <c r="VUG21" s="196"/>
      <c r="VUH21" s="195"/>
      <c r="VUI21" s="197"/>
      <c r="VUJ21" s="198"/>
      <c r="VUK21" s="199"/>
      <c r="VUL21" s="194"/>
      <c r="VUM21" s="194"/>
      <c r="VUN21" s="194"/>
      <c r="VUO21" s="195"/>
      <c r="VUP21" s="195"/>
      <c r="VUQ21" s="196"/>
      <c r="VUR21" s="195"/>
      <c r="VUS21" s="197"/>
      <c r="VUT21" s="198"/>
      <c r="VUU21" s="199"/>
      <c r="VUV21" s="194"/>
      <c r="VUW21" s="194"/>
      <c r="VUX21" s="194"/>
      <c r="VUY21" s="195"/>
      <c r="VUZ21" s="195"/>
      <c r="VVA21" s="196"/>
      <c r="VVB21" s="195"/>
      <c r="VVC21" s="197"/>
      <c r="VVD21" s="198"/>
      <c r="VVE21" s="199"/>
      <c r="VVF21" s="194"/>
      <c r="VVG21" s="194"/>
      <c r="VVH21" s="194"/>
      <c r="VVI21" s="195"/>
      <c r="VVJ21" s="195"/>
      <c r="VVK21" s="196"/>
      <c r="VVL21" s="195"/>
      <c r="VVM21" s="197"/>
      <c r="VVN21" s="198"/>
      <c r="VVO21" s="199"/>
      <c r="VVP21" s="194"/>
      <c r="VVQ21" s="194"/>
      <c r="VVR21" s="194"/>
      <c r="VVS21" s="195"/>
      <c r="VVT21" s="195"/>
      <c r="VVU21" s="196"/>
      <c r="VVV21" s="195"/>
      <c r="VVW21" s="197"/>
      <c r="VVX21" s="198"/>
      <c r="VVY21" s="199"/>
      <c r="VVZ21" s="194"/>
      <c r="VWA21" s="194"/>
      <c r="VWB21" s="194"/>
      <c r="VWC21" s="195"/>
      <c r="VWD21" s="195"/>
      <c r="VWE21" s="196"/>
      <c r="VWF21" s="195"/>
      <c r="VWG21" s="197"/>
      <c r="VWH21" s="198"/>
      <c r="VWI21" s="199"/>
      <c r="VWJ21" s="194"/>
      <c r="VWK21" s="194"/>
      <c r="VWL21" s="194"/>
      <c r="VWM21" s="195"/>
      <c r="VWN21" s="195"/>
      <c r="VWO21" s="196"/>
      <c r="VWP21" s="195"/>
      <c r="VWQ21" s="197"/>
      <c r="VWR21" s="198"/>
      <c r="VWS21" s="199"/>
      <c r="VWT21" s="194"/>
      <c r="VWU21" s="194"/>
      <c r="VWV21" s="194"/>
      <c r="VWW21" s="195"/>
      <c r="VWX21" s="195"/>
      <c r="VWY21" s="196"/>
      <c r="VWZ21" s="195"/>
      <c r="VXA21" s="197"/>
      <c r="VXB21" s="198"/>
      <c r="VXC21" s="199"/>
      <c r="VXD21" s="194"/>
      <c r="VXE21" s="194"/>
      <c r="VXF21" s="194"/>
      <c r="VXG21" s="195"/>
      <c r="VXH21" s="195"/>
      <c r="VXI21" s="196"/>
      <c r="VXJ21" s="195"/>
      <c r="VXK21" s="197"/>
      <c r="VXL21" s="198"/>
      <c r="VXM21" s="199"/>
      <c r="VXN21" s="194"/>
      <c r="VXO21" s="194"/>
      <c r="VXP21" s="194"/>
      <c r="VXQ21" s="195"/>
      <c r="VXR21" s="195"/>
      <c r="VXS21" s="196"/>
      <c r="VXT21" s="195"/>
      <c r="VXU21" s="197"/>
      <c r="VXV21" s="198"/>
      <c r="VXW21" s="199"/>
      <c r="VXX21" s="194"/>
      <c r="VXY21" s="194"/>
      <c r="VXZ21" s="194"/>
      <c r="VYA21" s="195"/>
      <c r="VYB21" s="195"/>
      <c r="VYC21" s="196"/>
      <c r="VYD21" s="195"/>
      <c r="VYE21" s="197"/>
      <c r="VYF21" s="198"/>
      <c r="VYG21" s="199"/>
      <c r="VYH21" s="194"/>
      <c r="VYI21" s="194"/>
      <c r="VYJ21" s="194"/>
      <c r="VYK21" s="195"/>
      <c r="VYL21" s="195"/>
      <c r="VYM21" s="196"/>
      <c r="VYN21" s="195"/>
      <c r="VYO21" s="197"/>
      <c r="VYP21" s="198"/>
      <c r="VYQ21" s="199"/>
      <c r="VYR21" s="194"/>
      <c r="VYS21" s="194"/>
      <c r="VYT21" s="194"/>
      <c r="VYU21" s="195"/>
      <c r="VYV21" s="195"/>
      <c r="VYW21" s="196"/>
      <c r="VYX21" s="195"/>
      <c r="VYY21" s="197"/>
      <c r="VYZ21" s="198"/>
      <c r="VZA21" s="199"/>
      <c r="VZB21" s="194"/>
      <c r="VZC21" s="194"/>
      <c r="VZD21" s="194"/>
      <c r="VZE21" s="195"/>
      <c r="VZF21" s="195"/>
      <c r="VZG21" s="196"/>
      <c r="VZH21" s="195"/>
      <c r="VZI21" s="197"/>
      <c r="VZJ21" s="198"/>
      <c r="VZK21" s="199"/>
      <c r="VZL21" s="194"/>
      <c r="VZM21" s="194"/>
      <c r="VZN21" s="194"/>
      <c r="VZO21" s="195"/>
      <c r="VZP21" s="195"/>
      <c r="VZQ21" s="196"/>
      <c r="VZR21" s="195"/>
      <c r="VZS21" s="197"/>
      <c r="VZT21" s="198"/>
      <c r="VZU21" s="199"/>
      <c r="VZV21" s="194"/>
      <c r="VZW21" s="194"/>
      <c r="VZX21" s="194"/>
      <c r="VZY21" s="195"/>
      <c r="VZZ21" s="195"/>
      <c r="WAA21" s="196"/>
      <c r="WAB21" s="195"/>
      <c r="WAC21" s="197"/>
      <c r="WAD21" s="198"/>
      <c r="WAE21" s="199"/>
      <c r="WAF21" s="194"/>
      <c r="WAG21" s="194"/>
      <c r="WAH21" s="194"/>
      <c r="WAI21" s="195"/>
      <c r="WAJ21" s="195"/>
      <c r="WAK21" s="196"/>
      <c r="WAL21" s="195"/>
      <c r="WAM21" s="197"/>
      <c r="WAN21" s="198"/>
      <c r="WAO21" s="199"/>
      <c r="WAP21" s="194"/>
      <c r="WAQ21" s="194"/>
      <c r="WAR21" s="194"/>
      <c r="WAS21" s="195"/>
      <c r="WAT21" s="195"/>
      <c r="WAU21" s="196"/>
      <c r="WAV21" s="195"/>
      <c r="WAW21" s="197"/>
      <c r="WAX21" s="198"/>
      <c r="WAY21" s="199"/>
      <c r="WAZ21" s="194"/>
      <c r="WBA21" s="194"/>
      <c r="WBB21" s="194"/>
      <c r="WBC21" s="195"/>
      <c r="WBD21" s="195"/>
      <c r="WBE21" s="196"/>
      <c r="WBF21" s="195"/>
      <c r="WBG21" s="197"/>
      <c r="WBH21" s="198"/>
      <c r="WBI21" s="199"/>
      <c r="WBJ21" s="194"/>
      <c r="WBK21" s="194"/>
      <c r="WBL21" s="194"/>
      <c r="WBM21" s="195"/>
      <c r="WBN21" s="195"/>
      <c r="WBO21" s="196"/>
      <c r="WBP21" s="195"/>
      <c r="WBQ21" s="197"/>
      <c r="WBR21" s="198"/>
      <c r="WBS21" s="199"/>
      <c r="WBT21" s="194"/>
      <c r="WBU21" s="194"/>
      <c r="WBV21" s="194"/>
      <c r="WBW21" s="195"/>
      <c r="WBX21" s="195"/>
      <c r="WBY21" s="196"/>
      <c r="WBZ21" s="195"/>
      <c r="WCA21" s="197"/>
      <c r="WCB21" s="198"/>
      <c r="WCC21" s="199"/>
      <c r="WCD21" s="194"/>
      <c r="WCE21" s="194"/>
      <c r="WCF21" s="194"/>
      <c r="WCG21" s="195"/>
      <c r="WCH21" s="195"/>
      <c r="WCI21" s="196"/>
      <c r="WCJ21" s="195"/>
      <c r="WCK21" s="197"/>
      <c r="WCL21" s="198"/>
      <c r="WCM21" s="199"/>
      <c r="WCN21" s="194"/>
      <c r="WCO21" s="194"/>
      <c r="WCP21" s="194"/>
      <c r="WCQ21" s="195"/>
      <c r="WCR21" s="195"/>
      <c r="WCS21" s="196"/>
      <c r="WCT21" s="195"/>
      <c r="WCU21" s="197"/>
      <c r="WCV21" s="198"/>
      <c r="WCW21" s="199"/>
      <c r="WCX21" s="194"/>
      <c r="WCY21" s="194"/>
      <c r="WCZ21" s="194"/>
      <c r="WDA21" s="195"/>
      <c r="WDB21" s="195"/>
      <c r="WDC21" s="196"/>
      <c r="WDD21" s="195"/>
      <c r="WDE21" s="197"/>
      <c r="WDF21" s="198"/>
      <c r="WDG21" s="199"/>
      <c r="WDH21" s="194"/>
      <c r="WDI21" s="194"/>
      <c r="WDJ21" s="194"/>
      <c r="WDK21" s="195"/>
      <c r="WDL21" s="195"/>
      <c r="WDM21" s="196"/>
      <c r="WDN21" s="195"/>
      <c r="WDO21" s="197"/>
      <c r="WDP21" s="198"/>
      <c r="WDQ21" s="199"/>
      <c r="WDR21" s="194"/>
      <c r="WDS21" s="194"/>
      <c r="WDT21" s="194"/>
      <c r="WDU21" s="195"/>
      <c r="WDV21" s="195"/>
      <c r="WDW21" s="196"/>
      <c r="WDX21" s="195"/>
      <c r="WDY21" s="197"/>
      <c r="WDZ21" s="198"/>
      <c r="WEA21" s="199"/>
      <c r="WEB21" s="194"/>
      <c r="WEC21" s="194"/>
      <c r="WED21" s="194"/>
      <c r="WEE21" s="195"/>
      <c r="WEF21" s="195"/>
      <c r="WEG21" s="196"/>
      <c r="WEH21" s="195"/>
      <c r="WEI21" s="197"/>
      <c r="WEJ21" s="198"/>
      <c r="WEK21" s="199"/>
      <c r="WEL21" s="194"/>
      <c r="WEM21" s="194"/>
      <c r="WEN21" s="194"/>
      <c r="WEO21" s="195"/>
      <c r="WEP21" s="195"/>
      <c r="WEQ21" s="196"/>
      <c r="WER21" s="195"/>
      <c r="WES21" s="197"/>
      <c r="WET21" s="198"/>
      <c r="WEU21" s="199"/>
      <c r="WEV21" s="194"/>
      <c r="WEW21" s="194"/>
      <c r="WEX21" s="194"/>
      <c r="WEY21" s="195"/>
      <c r="WEZ21" s="195"/>
      <c r="WFA21" s="196"/>
      <c r="WFB21" s="195"/>
      <c r="WFC21" s="197"/>
      <c r="WFD21" s="198"/>
      <c r="WFE21" s="199"/>
      <c r="WFF21" s="194"/>
      <c r="WFG21" s="194"/>
      <c r="WFH21" s="194"/>
      <c r="WFI21" s="195"/>
      <c r="WFJ21" s="195"/>
      <c r="WFK21" s="196"/>
      <c r="WFL21" s="195"/>
      <c r="WFM21" s="197"/>
      <c r="WFN21" s="198"/>
      <c r="WFO21" s="199"/>
      <c r="WFP21" s="194"/>
      <c r="WFQ21" s="194"/>
      <c r="WFR21" s="194"/>
      <c r="WFS21" s="195"/>
      <c r="WFT21" s="195"/>
      <c r="WFU21" s="196"/>
      <c r="WFV21" s="195"/>
      <c r="WFW21" s="197"/>
      <c r="WFX21" s="198"/>
      <c r="WFY21" s="199"/>
      <c r="WFZ21" s="194"/>
      <c r="WGA21" s="194"/>
      <c r="WGB21" s="194"/>
      <c r="WGC21" s="195"/>
      <c r="WGD21" s="195"/>
      <c r="WGE21" s="196"/>
      <c r="WGF21" s="195"/>
      <c r="WGG21" s="197"/>
      <c r="WGH21" s="198"/>
      <c r="WGI21" s="199"/>
      <c r="WGJ21" s="194"/>
      <c r="WGK21" s="194"/>
      <c r="WGL21" s="194"/>
      <c r="WGM21" s="195"/>
      <c r="WGN21" s="195"/>
      <c r="WGO21" s="196"/>
      <c r="WGP21" s="195"/>
      <c r="WGQ21" s="197"/>
      <c r="WGR21" s="198"/>
      <c r="WGS21" s="199"/>
      <c r="WGT21" s="194"/>
      <c r="WGU21" s="194"/>
      <c r="WGV21" s="194"/>
      <c r="WGW21" s="195"/>
      <c r="WGX21" s="195"/>
      <c r="WGY21" s="196"/>
      <c r="WGZ21" s="195"/>
      <c r="WHA21" s="197"/>
      <c r="WHB21" s="198"/>
      <c r="WHC21" s="199"/>
      <c r="WHD21" s="194"/>
      <c r="WHE21" s="194"/>
      <c r="WHF21" s="194"/>
      <c r="WHG21" s="195"/>
      <c r="WHH21" s="195"/>
      <c r="WHI21" s="196"/>
      <c r="WHJ21" s="195"/>
      <c r="WHK21" s="197"/>
      <c r="WHL21" s="198"/>
      <c r="WHM21" s="199"/>
      <c r="WHN21" s="194"/>
      <c r="WHO21" s="194"/>
      <c r="WHP21" s="194"/>
      <c r="WHQ21" s="195"/>
      <c r="WHR21" s="195"/>
      <c r="WHS21" s="196"/>
      <c r="WHT21" s="195"/>
      <c r="WHU21" s="197"/>
      <c r="WHV21" s="198"/>
      <c r="WHW21" s="199"/>
      <c r="WHX21" s="194"/>
      <c r="WHY21" s="194"/>
      <c r="WHZ21" s="194"/>
      <c r="WIA21" s="195"/>
      <c r="WIB21" s="195"/>
      <c r="WIC21" s="196"/>
      <c r="WID21" s="195"/>
      <c r="WIE21" s="197"/>
      <c r="WIF21" s="198"/>
      <c r="WIG21" s="199"/>
      <c r="WIH21" s="194"/>
      <c r="WII21" s="194"/>
      <c r="WIJ21" s="194"/>
      <c r="WIK21" s="195"/>
      <c r="WIL21" s="195"/>
      <c r="WIM21" s="196"/>
      <c r="WIN21" s="195"/>
      <c r="WIO21" s="197"/>
      <c r="WIP21" s="198"/>
      <c r="WIQ21" s="199"/>
      <c r="WIR21" s="194"/>
      <c r="WIS21" s="194"/>
      <c r="WIT21" s="194"/>
      <c r="WIU21" s="195"/>
      <c r="WIV21" s="195"/>
      <c r="WIW21" s="196"/>
      <c r="WIX21" s="195"/>
      <c r="WIY21" s="197"/>
      <c r="WIZ21" s="198"/>
      <c r="WJA21" s="199"/>
      <c r="WJB21" s="194"/>
      <c r="WJC21" s="194"/>
      <c r="WJD21" s="194"/>
      <c r="WJE21" s="195"/>
      <c r="WJF21" s="195"/>
      <c r="WJG21" s="196"/>
      <c r="WJH21" s="195"/>
      <c r="WJI21" s="197"/>
      <c r="WJJ21" s="198"/>
      <c r="WJK21" s="199"/>
      <c r="WJL21" s="194"/>
      <c r="WJM21" s="194"/>
      <c r="WJN21" s="194"/>
      <c r="WJO21" s="195"/>
      <c r="WJP21" s="195"/>
      <c r="WJQ21" s="196"/>
      <c r="WJR21" s="195"/>
      <c r="WJS21" s="197"/>
      <c r="WJT21" s="198"/>
      <c r="WJU21" s="199"/>
      <c r="WJV21" s="194"/>
      <c r="WJW21" s="194"/>
      <c r="WJX21" s="194"/>
      <c r="WJY21" s="195"/>
      <c r="WJZ21" s="195"/>
      <c r="WKA21" s="196"/>
      <c r="WKB21" s="195"/>
      <c r="WKC21" s="197"/>
      <c r="WKD21" s="198"/>
      <c r="WKE21" s="199"/>
      <c r="WKF21" s="194"/>
      <c r="WKG21" s="194"/>
      <c r="WKH21" s="194"/>
      <c r="WKI21" s="195"/>
      <c r="WKJ21" s="195"/>
      <c r="WKK21" s="196"/>
      <c r="WKL21" s="195"/>
      <c r="WKM21" s="197"/>
      <c r="WKN21" s="198"/>
      <c r="WKO21" s="199"/>
      <c r="WKP21" s="194"/>
      <c r="WKQ21" s="194"/>
      <c r="WKR21" s="194"/>
      <c r="WKS21" s="195"/>
      <c r="WKT21" s="195"/>
      <c r="WKU21" s="196"/>
      <c r="WKV21" s="195"/>
      <c r="WKW21" s="197"/>
      <c r="WKX21" s="198"/>
      <c r="WKY21" s="199"/>
      <c r="WKZ21" s="194"/>
      <c r="WLA21" s="194"/>
      <c r="WLB21" s="194"/>
      <c r="WLC21" s="195"/>
      <c r="WLD21" s="195"/>
      <c r="WLE21" s="196"/>
      <c r="WLF21" s="195"/>
      <c r="WLG21" s="197"/>
      <c r="WLH21" s="198"/>
      <c r="WLI21" s="199"/>
      <c r="WLJ21" s="194"/>
      <c r="WLK21" s="194"/>
      <c r="WLL21" s="194"/>
      <c r="WLM21" s="195"/>
      <c r="WLN21" s="195"/>
      <c r="WLO21" s="196"/>
      <c r="WLP21" s="195"/>
      <c r="WLQ21" s="197"/>
      <c r="WLR21" s="198"/>
      <c r="WLS21" s="199"/>
      <c r="WLT21" s="194"/>
      <c r="WLU21" s="194"/>
      <c r="WLV21" s="194"/>
      <c r="WLW21" s="195"/>
      <c r="WLX21" s="195"/>
      <c r="WLY21" s="196"/>
      <c r="WLZ21" s="195"/>
      <c r="WMA21" s="197"/>
      <c r="WMB21" s="198"/>
      <c r="WMC21" s="199"/>
      <c r="WMD21" s="194"/>
      <c r="WME21" s="194"/>
      <c r="WMF21" s="194"/>
      <c r="WMG21" s="195"/>
      <c r="WMH21" s="195"/>
      <c r="WMI21" s="196"/>
      <c r="WMJ21" s="195"/>
      <c r="WMK21" s="197"/>
      <c r="WML21" s="198"/>
      <c r="WMM21" s="199"/>
      <c r="WMN21" s="194"/>
      <c r="WMO21" s="194"/>
      <c r="WMP21" s="194"/>
      <c r="WMQ21" s="195"/>
      <c r="WMR21" s="195"/>
      <c r="WMS21" s="196"/>
      <c r="WMT21" s="195"/>
      <c r="WMU21" s="197"/>
      <c r="WMV21" s="198"/>
      <c r="WMW21" s="199"/>
      <c r="WMX21" s="194"/>
      <c r="WMY21" s="194"/>
      <c r="WMZ21" s="194"/>
      <c r="WNA21" s="195"/>
      <c r="WNB21" s="195"/>
      <c r="WNC21" s="196"/>
      <c r="WND21" s="195"/>
      <c r="WNE21" s="197"/>
      <c r="WNF21" s="198"/>
      <c r="WNG21" s="199"/>
      <c r="WNH21" s="194"/>
      <c r="WNI21" s="194"/>
      <c r="WNJ21" s="194"/>
      <c r="WNK21" s="195"/>
      <c r="WNL21" s="195"/>
      <c r="WNM21" s="196"/>
      <c r="WNN21" s="195"/>
      <c r="WNO21" s="197"/>
      <c r="WNP21" s="198"/>
      <c r="WNQ21" s="199"/>
      <c r="WNR21" s="194"/>
      <c r="WNS21" s="194"/>
      <c r="WNT21" s="194"/>
      <c r="WNU21" s="195"/>
      <c r="WNV21" s="195"/>
      <c r="WNW21" s="196"/>
      <c r="WNX21" s="195"/>
      <c r="WNY21" s="197"/>
      <c r="WNZ21" s="198"/>
      <c r="WOA21" s="199"/>
      <c r="WOB21" s="194"/>
      <c r="WOC21" s="194"/>
      <c r="WOD21" s="194"/>
      <c r="WOE21" s="195"/>
      <c r="WOF21" s="195"/>
      <c r="WOG21" s="196"/>
      <c r="WOH21" s="195"/>
      <c r="WOI21" s="197"/>
      <c r="WOJ21" s="198"/>
      <c r="WOK21" s="199"/>
      <c r="WOL21" s="194"/>
      <c r="WOM21" s="194"/>
      <c r="WON21" s="194"/>
      <c r="WOO21" s="195"/>
      <c r="WOP21" s="195"/>
      <c r="WOQ21" s="196"/>
      <c r="WOR21" s="195"/>
      <c r="WOS21" s="197"/>
      <c r="WOT21" s="198"/>
      <c r="WOU21" s="199"/>
      <c r="WOV21" s="194"/>
      <c r="WOW21" s="194"/>
      <c r="WOX21" s="194"/>
      <c r="WOY21" s="195"/>
      <c r="WOZ21" s="195"/>
      <c r="WPA21" s="196"/>
      <c r="WPB21" s="195"/>
      <c r="WPC21" s="197"/>
      <c r="WPD21" s="198"/>
      <c r="WPE21" s="199"/>
      <c r="WPF21" s="194"/>
      <c r="WPG21" s="194"/>
      <c r="WPH21" s="194"/>
      <c r="WPI21" s="195"/>
      <c r="WPJ21" s="195"/>
      <c r="WPK21" s="196"/>
      <c r="WPL21" s="195"/>
      <c r="WPM21" s="197"/>
      <c r="WPN21" s="198"/>
      <c r="WPO21" s="199"/>
      <c r="WPP21" s="194"/>
      <c r="WPQ21" s="194"/>
      <c r="WPR21" s="194"/>
      <c r="WPS21" s="195"/>
      <c r="WPT21" s="195"/>
      <c r="WPU21" s="196"/>
      <c r="WPV21" s="195"/>
      <c r="WPW21" s="197"/>
      <c r="WPX21" s="198"/>
      <c r="WPY21" s="199"/>
      <c r="WPZ21" s="194"/>
      <c r="WQA21" s="194"/>
      <c r="WQB21" s="194"/>
      <c r="WQC21" s="195"/>
      <c r="WQD21" s="195"/>
      <c r="WQE21" s="196"/>
      <c r="WQF21" s="195"/>
      <c r="WQG21" s="197"/>
      <c r="WQH21" s="198"/>
      <c r="WQI21" s="199"/>
      <c r="WQJ21" s="194"/>
      <c r="WQK21" s="194"/>
      <c r="WQL21" s="194"/>
      <c r="WQM21" s="195"/>
      <c r="WQN21" s="195"/>
      <c r="WQO21" s="196"/>
      <c r="WQP21" s="195"/>
      <c r="WQQ21" s="197"/>
      <c r="WQR21" s="198"/>
      <c r="WQS21" s="199"/>
      <c r="WQT21" s="194"/>
      <c r="WQU21" s="194"/>
      <c r="WQV21" s="194"/>
      <c r="WQW21" s="195"/>
      <c r="WQX21" s="195"/>
      <c r="WQY21" s="196"/>
      <c r="WQZ21" s="195"/>
      <c r="WRA21" s="197"/>
      <c r="WRB21" s="198"/>
      <c r="WRC21" s="199"/>
      <c r="WRD21" s="194"/>
      <c r="WRE21" s="194"/>
      <c r="WRF21" s="194"/>
      <c r="WRG21" s="195"/>
      <c r="WRH21" s="195"/>
      <c r="WRI21" s="196"/>
      <c r="WRJ21" s="195"/>
      <c r="WRK21" s="197"/>
      <c r="WRL21" s="198"/>
      <c r="WRM21" s="199"/>
      <c r="WRN21" s="194"/>
      <c r="WRO21" s="194"/>
      <c r="WRP21" s="194"/>
      <c r="WRQ21" s="195"/>
      <c r="WRR21" s="195"/>
      <c r="WRS21" s="196"/>
      <c r="WRT21" s="195"/>
      <c r="WRU21" s="197"/>
      <c r="WRV21" s="198"/>
      <c r="WRW21" s="199"/>
      <c r="WRX21" s="194"/>
      <c r="WRY21" s="194"/>
      <c r="WRZ21" s="194"/>
      <c r="WSA21" s="195"/>
      <c r="WSB21" s="195"/>
      <c r="WSC21" s="196"/>
      <c r="WSD21" s="195"/>
      <c r="WSE21" s="197"/>
      <c r="WSF21" s="198"/>
      <c r="WSG21" s="199"/>
      <c r="WSH21" s="194"/>
      <c r="WSI21" s="194"/>
      <c r="WSJ21" s="194"/>
      <c r="WSK21" s="195"/>
      <c r="WSL21" s="195"/>
      <c r="WSM21" s="196"/>
      <c r="WSN21" s="195"/>
      <c r="WSO21" s="197"/>
      <c r="WSP21" s="198"/>
      <c r="WSQ21" s="199"/>
      <c r="WSR21" s="194"/>
      <c r="WSS21" s="194"/>
      <c r="WST21" s="194"/>
      <c r="WSU21" s="195"/>
      <c r="WSV21" s="195"/>
      <c r="WSW21" s="196"/>
      <c r="WSX21" s="195"/>
      <c r="WSY21" s="197"/>
      <c r="WSZ21" s="198"/>
      <c r="WTA21" s="199"/>
      <c r="WTB21" s="194"/>
      <c r="WTC21" s="194"/>
      <c r="WTD21" s="194"/>
      <c r="WTE21" s="195"/>
      <c r="WTF21" s="195"/>
      <c r="WTG21" s="196"/>
      <c r="WTH21" s="195"/>
      <c r="WTI21" s="197"/>
      <c r="WTJ21" s="198"/>
      <c r="WTK21" s="199"/>
      <c r="WTL21" s="194"/>
      <c r="WTM21" s="194"/>
      <c r="WTN21" s="194"/>
      <c r="WTO21" s="195"/>
      <c r="WTP21" s="195"/>
      <c r="WTQ21" s="196"/>
      <c r="WTR21" s="195"/>
      <c r="WTS21" s="197"/>
      <c r="WTT21" s="198"/>
      <c r="WTU21" s="199"/>
      <c r="WTV21" s="194"/>
      <c r="WTW21" s="194"/>
      <c r="WTX21" s="194"/>
      <c r="WTY21" s="195"/>
      <c r="WTZ21" s="195"/>
      <c r="WUA21" s="196"/>
      <c r="WUB21" s="195"/>
      <c r="WUC21" s="197"/>
      <c r="WUD21" s="198"/>
      <c r="WUE21" s="199"/>
      <c r="WUF21" s="194"/>
      <c r="WUG21" s="194"/>
      <c r="WUH21" s="194"/>
      <c r="WUI21" s="195"/>
      <c r="WUJ21" s="195"/>
      <c r="WUK21" s="196"/>
      <c r="WUL21" s="195"/>
      <c r="WUM21" s="197"/>
      <c r="WUN21" s="198"/>
      <c r="WUO21" s="199"/>
      <c r="WUP21" s="194"/>
      <c r="WUQ21" s="194"/>
      <c r="WUR21" s="194"/>
      <c r="WUS21" s="195"/>
      <c r="WUT21" s="195"/>
      <c r="WUU21" s="196"/>
      <c r="WUV21" s="195"/>
      <c r="WUW21" s="197"/>
      <c r="WUX21" s="198"/>
      <c r="WUY21" s="199"/>
      <c r="WUZ21" s="194"/>
      <c r="WVA21" s="194"/>
      <c r="WVB21" s="194"/>
      <c r="WVC21" s="195"/>
      <c r="WVD21" s="195"/>
      <c r="WVE21" s="196"/>
      <c r="WVF21" s="195"/>
      <c r="WVG21" s="197"/>
      <c r="WVH21" s="198"/>
      <c r="WVI21" s="199"/>
      <c r="WVJ21" s="194"/>
      <c r="WVK21" s="194"/>
      <c r="WVL21" s="194"/>
      <c r="WVM21" s="195"/>
      <c r="WVN21" s="195"/>
      <c r="WVO21" s="196"/>
      <c r="WVP21" s="195"/>
      <c r="WVQ21" s="197"/>
      <c r="WVR21" s="198"/>
      <c r="WVS21" s="199"/>
      <c r="WVT21" s="194"/>
      <c r="WVU21" s="194"/>
      <c r="WVV21" s="194"/>
      <c r="WVW21" s="195"/>
      <c r="WVX21" s="195"/>
      <c r="WVY21" s="196"/>
      <c r="WVZ21" s="195"/>
      <c r="WWA21" s="197"/>
      <c r="WWB21" s="198"/>
      <c r="WWC21" s="199"/>
      <c r="WWD21" s="194"/>
      <c r="WWE21" s="194"/>
      <c r="WWF21" s="194"/>
      <c r="WWG21" s="195"/>
      <c r="WWH21" s="195"/>
      <c r="WWI21" s="196"/>
      <c r="WWJ21" s="195"/>
      <c r="WWK21" s="197"/>
      <c r="WWL21" s="198"/>
      <c r="WWM21" s="199"/>
      <c r="WWN21" s="194"/>
      <c r="WWO21" s="194"/>
      <c r="WWP21" s="194"/>
      <c r="WWQ21" s="195"/>
      <c r="WWR21" s="195"/>
      <c r="WWS21" s="196"/>
      <c r="WWT21" s="195"/>
      <c r="WWU21" s="197"/>
      <c r="WWV21" s="198"/>
      <c r="WWW21" s="199"/>
      <c r="WWX21" s="194"/>
      <c r="WWY21" s="194"/>
      <c r="WWZ21" s="194"/>
      <c r="WXA21" s="195"/>
      <c r="WXB21" s="195"/>
      <c r="WXC21" s="196"/>
      <c r="WXD21" s="195"/>
      <c r="WXE21" s="197"/>
      <c r="WXF21" s="198"/>
      <c r="WXG21" s="199"/>
      <c r="WXH21" s="194"/>
      <c r="WXI21" s="194"/>
      <c r="WXJ21" s="194"/>
      <c r="WXK21" s="195"/>
      <c r="WXL21" s="195"/>
      <c r="WXM21" s="196"/>
      <c r="WXN21" s="195"/>
      <c r="WXO21" s="197"/>
      <c r="WXP21" s="198"/>
      <c r="WXQ21" s="199"/>
      <c r="WXR21" s="194"/>
      <c r="WXS21" s="194"/>
      <c r="WXT21" s="194"/>
      <c r="WXU21" s="195"/>
      <c r="WXV21" s="195"/>
      <c r="WXW21" s="196"/>
      <c r="WXX21" s="195"/>
      <c r="WXY21" s="197"/>
      <c r="WXZ21" s="198"/>
      <c r="WYA21" s="199"/>
      <c r="WYB21" s="194"/>
      <c r="WYC21" s="194"/>
      <c r="WYD21" s="194"/>
      <c r="WYE21" s="195"/>
      <c r="WYF21" s="195"/>
      <c r="WYG21" s="196"/>
      <c r="WYH21" s="195"/>
      <c r="WYI21" s="197"/>
      <c r="WYJ21" s="198"/>
      <c r="WYK21" s="199"/>
      <c r="WYL21" s="194"/>
      <c r="WYM21" s="194"/>
      <c r="WYN21" s="194"/>
      <c r="WYO21" s="195"/>
      <c r="WYP21" s="195"/>
      <c r="WYQ21" s="196"/>
      <c r="WYR21" s="195"/>
      <c r="WYS21" s="197"/>
      <c r="WYT21" s="198"/>
      <c r="WYU21" s="199"/>
      <c r="WYV21" s="194"/>
      <c r="WYW21" s="194"/>
      <c r="WYX21" s="194"/>
      <c r="WYY21" s="195"/>
      <c r="WYZ21" s="195"/>
      <c r="WZA21" s="196"/>
      <c r="WZB21" s="195"/>
      <c r="WZC21" s="197"/>
      <c r="WZD21" s="198"/>
      <c r="WZE21" s="199"/>
      <c r="WZF21" s="194"/>
      <c r="WZG21" s="194"/>
      <c r="WZH21" s="194"/>
      <c r="WZI21" s="195"/>
      <c r="WZJ21" s="195"/>
      <c r="WZK21" s="196"/>
      <c r="WZL21" s="195"/>
      <c r="WZM21" s="197"/>
      <c r="WZN21" s="198"/>
      <c r="WZO21" s="199"/>
      <c r="WZP21" s="194"/>
      <c r="WZQ21" s="194"/>
      <c r="WZR21" s="194"/>
      <c r="WZS21" s="195"/>
      <c r="WZT21" s="195"/>
      <c r="WZU21" s="196"/>
      <c r="WZV21" s="195"/>
      <c r="WZW21" s="197"/>
      <c r="WZX21" s="198"/>
      <c r="WZY21" s="199"/>
      <c r="WZZ21" s="194"/>
      <c r="XAA21" s="194"/>
      <c r="XAB21" s="194"/>
      <c r="XAC21" s="195"/>
      <c r="XAD21" s="195"/>
      <c r="XAE21" s="196"/>
      <c r="XAF21" s="195"/>
      <c r="XAG21" s="197"/>
      <c r="XAH21" s="198"/>
      <c r="XAI21" s="199"/>
      <c r="XAJ21" s="194"/>
      <c r="XAK21" s="194"/>
      <c r="XAL21" s="194"/>
      <c r="XAM21" s="195"/>
      <c r="XAN21" s="195"/>
      <c r="XAO21" s="196"/>
      <c r="XAP21" s="195"/>
      <c r="XAQ21" s="197"/>
      <c r="XAR21" s="198"/>
      <c r="XAS21" s="199"/>
      <c r="XAT21" s="194"/>
      <c r="XAU21" s="194"/>
      <c r="XAV21" s="194"/>
      <c r="XAW21" s="195"/>
      <c r="XAX21" s="195"/>
      <c r="XAY21" s="196"/>
      <c r="XAZ21" s="195"/>
      <c r="XBA21" s="197"/>
      <c r="XBB21" s="198"/>
      <c r="XBC21" s="199"/>
      <c r="XBD21" s="194"/>
      <c r="XBE21" s="194"/>
      <c r="XBF21" s="194"/>
      <c r="XBG21" s="195"/>
      <c r="XBH21" s="195"/>
      <c r="XBI21" s="196"/>
      <c r="XBJ21" s="195"/>
      <c r="XBK21" s="197"/>
      <c r="XBL21" s="198"/>
      <c r="XBM21" s="199"/>
      <c r="XBN21" s="194"/>
      <c r="XBO21" s="194"/>
      <c r="XBP21" s="194"/>
      <c r="XBQ21" s="195"/>
      <c r="XBR21" s="195"/>
      <c r="XBS21" s="196"/>
      <c r="XBT21" s="195"/>
      <c r="XBU21" s="197"/>
      <c r="XBV21" s="198"/>
      <c r="XBW21" s="199"/>
      <c r="XBX21" s="194"/>
      <c r="XBY21" s="194"/>
      <c r="XBZ21" s="194"/>
      <c r="XCA21" s="195"/>
      <c r="XCB21" s="195"/>
      <c r="XCC21" s="196"/>
      <c r="XCD21" s="195"/>
      <c r="XCE21" s="197"/>
      <c r="XCF21" s="198"/>
      <c r="XCG21" s="199"/>
      <c r="XCH21" s="194"/>
      <c r="XCI21" s="194"/>
      <c r="XCJ21" s="194"/>
      <c r="XCK21" s="195"/>
      <c r="XCL21" s="195"/>
      <c r="XCM21" s="196"/>
      <c r="XCN21" s="195"/>
      <c r="XCO21" s="197"/>
      <c r="XCP21" s="198"/>
      <c r="XCQ21" s="199"/>
      <c r="XCR21" s="194"/>
      <c r="XCS21" s="194"/>
      <c r="XCT21" s="194"/>
      <c r="XCU21" s="195"/>
      <c r="XCV21" s="195"/>
      <c r="XCW21" s="196"/>
      <c r="XCX21" s="195"/>
      <c r="XCY21" s="197"/>
      <c r="XCZ21" s="198"/>
      <c r="XDA21" s="199"/>
      <c r="XDB21" s="194"/>
      <c r="XDC21" s="194"/>
      <c r="XDD21" s="194"/>
      <c r="XDE21" s="195"/>
      <c r="XDF21" s="195"/>
      <c r="XDG21" s="196"/>
      <c r="XDH21" s="195"/>
      <c r="XDI21" s="197"/>
      <c r="XDJ21" s="198"/>
      <c r="XDK21" s="199"/>
      <c r="XDL21" s="194"/>
      <c r="XDM21" s="194"/>
      <c r="XDN21" s="194"/>
      <c r="XDO21" s="195"/>
      <c r="XDP21" s="195"/>
      <c r="XDQ21" s="196"/>
      <c r="XDR21" s="195"/>
      <c r="XDS21" s="197"/>
      <c r="XDT21" s="198"/>
      <c r="XDU21" s="199"/>
      <c r="XDV21" s="194"/>
      <c r="XDW21" s="194"/>
      <c r="XDX21" s="194"/>
      <c r="XDY21" s="195"/>
      <c r="XDZ21" s="195"/>
      <c r="XEA21" s="196"/>
      <c r="XEB21" s="195"/>
      <c r="XEC21" s="197"/>
      <c r="XED21" s="198"/>
      <c r="XEE21" s="199"/>
      <c r="XEF21" s="194"/>
      <c r="XEG21" s="194"/>
      <c r="XEH21" s="194"/>
      <c r="XEI21" s="195"/>
      <c r="XEJ21" s="195"/>
      <c r="XEK21" s="196"/>
      <c r="XEL21" s="195"/>
      <c r="XEM21" s="197"/>
      <c r="XEN21" s="198"/>
      <c r="XEO21" s="199"/>
      <c r="XEP21" s="194"/>
      <c r="XEQ21" s="194"/>
      <c r="XER21" s="194"/>
      <c r="XES21" s="195"/>
      <c r="XET21" s="195"/>
      <c r="XEU21" s="196"/>
      <c r="XEV21" s="195"/>
      <c r="XEW21" s="197"/>
      <c r="XEX21" s="198"/>
      <c r="XEY21" s="199"/>
      <c r="XEZ21" s="194"/>
      <c r="XFA21" s="194"/>
    </row>
    <row r="22" spans="1:16381" s="125" customFormat="1" ht="69.75" customHeight="1">
      <c r="C22" s="95">
        <v>12</v>
      </c>
      <c r="D22" s="146" t="s">
        <v>173</v>
      </c>
      <c r="E22" s="147"/>
      <c r="F22" s="147"/>
      <c r="G22" s="147"/>
      <c r="H22" s="98">
        <v>2</v>
      </c>
      <c r="I22" s="98">
        <f>IF(E22="O",2,IF(F22="O",1,IF(G22="O",0,0)))</f>
        <v>0</v>
      </c>
      <c r="J22" s="99">
        <f>I22*100/$H$21</f>
        <v>0</v>
      </c>
      <c r="K22" s="202"/>
      <c r="M22" s="149">
        <v>2</v>
      </c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79"/>
      <c r="DC22" s="179"/>
      <c r="DD22" s="179"/>
      <c r="DE22" s="179"/>
      <c r="DF22" s="179"/>
      <c r="DG22" s="179"/>
      <c r="DH22" s="179"/>
      <c r="DI22" s="179"/>
      <c r="DJ22" s="179"/>
      <c r="DK22" s="179"/>
      <c r="DL22" s="179"/>
      <c r="DM22" s="179"/>
      <c r="DN22" s="179"/>
      <c r="DO22" s="179"/>
      <c r="DP22" s="179"/>
      <c r="DQ22" s="179"/>
      <c r="DR22" s="179"/>
      <c r="DS22" s="179"/>
      <c r="DT22" s="179"/>
      <c r="DU22" s="179"/>
      <c r="DV22" s="179"/>
      <c r="DW22" s="179"/>
      <c r="DX22" s="179"/>
      <c r="DY22" s="179"/>
      <c r="DZ22" s="179"/>
      <c r="EA22" s="179"/>
      <c r="EB22" s="179"/>
      <c r="EC22" s="179"/>
      <c r="ED22" s="179"/>
      <c r="EE22" s="179"/>
      <c r="EF22" s="179"/>
      <c r="EG22" s="179"/>
      <c r="EH22" s="179"/>
      <c r="EI22" s="179"/>
      <c r="EJ22" s="179"/>
      <c r="EK22" s="179"/>
      <c r="EL22" s="179"/>
      <c r="EM22" s="179"/>
      <c r="EN22" s="179"/>
      <c r="EO22" s="179"/>
      <c r="EP22" s="179"/>
      <c r="EQ22" s="179"/>
      <c r="ER22" s="179"/>
      <c r="ES22" s="179"/>
      <c r="ET22" s="179"/>
      <c r="EU22" s="179"/>
      <c r="EV22" s="179"/>
      <c r="EW22" s="179"/>
      <c r="EX22" s="179"/>
      <c r="EY22" s="179"/>
      <c r="EZ22" s="179"/>
      <c r="FA22" s="179"/>
      <c r="FB22" s="179"/>
      <c r="FC22" s="179"/>
      <c r="FD22" s="179"/>
      <c r="FE22" s="179"/>
      <c r="FF22" s="179"/>
      <c r="FG22" s="179"/>
      <c r="FH22" s="179"/>
      <c r="FI22" s="179"/>
      <c r="FJ22" s="179"/>
      <c r="FK22" s="179"/>
      <c r="FL22" s="179"/>
      <c r="FM22" s="179"/>
      <c r="FN22" s="179"/>
      <c r="FO22" s="179"/>
      <c r="FP22" s="179"/>
      <c r="FQ22" s="179"/>
      <c r="FR22" s="179"/>
      <c r="FS22" s="179"/>
      <c r="FT22" s="179"/>
      <c r="FU22" s="179"/>
      <c r="FV22" s="179"/>
      <c r="FW22" s="179"/>
      <c r="FX22" s="179"/>
      <c r="FY22" s="179"/>
      <c r="FZ22" s="179"/>
      <c r="GA22" s="179"/>
      <c r="GB22" s="179"/>
      <c r="GC22" s="179"/>
      <c r="GD22" s="179"/>
      <c r="GE22" s="179"/>
      <c r="GF22" s="179"/>
      <c r="GG22" s="179"/>
      <c r="GH22" s="179"/>
      <c r="GI22" s="179"/>
      <c r="GJ22" s="179"/>
      <c r="GK22" s="179"/>
      <c r="GL22" s="179"/>
      <c r="GM22" s="179"/>
      <c r="GN22" s="179"/>
      <c r="GO22" s="179"/>
      <c r="GP22" s="179"/>
      <c r="GQ22" s="179"/>
      <c r="GR22" s="179"/>
      <c r="GS22" s="179"/>
      <c r="GT22" s="179"/>
      <c r="GU22" s="179"/>
      <c r="GV22" s="179"/>
      <c r="GW22" s="179"/>
      <c r="GX22" s="179"/>
      <c r="GY22" s="179"/>
      <c r="GZ22" s="179"/>
      <c r="HA22" s="179"/>
      <c r="HB22" s="179"/>
      <c r="HC22" s="179"/>
      <c r="HD22" s="179"/>
      <c r="HE22" s="179"/>
      <c r="HF22" s="179"/>
      <c r="HG22" s="179"/>
      <c r="HH22" s="179"/>
      <c r="HI22" s="179"/>
      <c r="HJ22" s="179"/>
      <c r="HK22" s="179"/>
      <c r="HL22" s="179"/>
      <c r="HM22" s="179"/>
      <c r="HN22" s="179"/>
      <c r="HO22" s="179"/>
      <c r="HP22" s="179"/>
      <c r="HQ22" s="179"/>
      <c r="HR22" s="179"/>
      <c r="HS22" s="179"/>
      <c r="HT22" s="179"/>
      <c r="HU22" s="179"/>
      <c r="HV22" s="179"/>
      <c r="HW22" s="179"/>
      <c r="HX22" s="179"/>
      <c r="HY22" s="179"/>
      <c r="HZ22" s="179"/>
      <c r="IA22" s="179"/>
      <c r="IB22" s="179"/>
      <c r="IC22" s="179"/>
      <c r="ID22" s="179"/>
      <c r="IE22" s="179"/>
      <c r="IF22" s="179"/>
      <c r="IG22" s="179"/>
      <c r="IH22" s="179"/>
      <c r="II22" s="179"/>
      <c r="IJ22" s="179"/>
      <c r="IK22" s="179"/>
      <c r="IL22" s="179"/>
      <c r="IM22" s="179"/>
      <c r="IN22" s="179"/>
      <c r="IO22" s="179"/>
      <c r="IP22" s="179"/>
      <c r="IQ22" s="179"/>
      <c r="IR22" s="179"/>
      <c r="IS22" s="179"/>
      <c r="IT22" s="179"/>
      <c r="IU22" s="179"/>
      <c r="IV22" s="179"/>
      <c r="IW22" s="179"/>
      <c r="IX22" s="179"/>
      <c r="IY22" s="179"/>
      <c r="IZ22" s="179"/>
      <c r="JA22" s="179"/>
      <c r="JB22" s="179"/>
      <c r="JC22" s="179"/>
      <c r="JD22" s="179"/>
      <c r="JE22" s="179"/>
      <c r="JF22" s="179"/>
      <c r="JG22" s="179"/>
      <c r="JH22" s="179"/>
      <c r="JI22" s="179"/>
      <c r="JJ22" s="179"/>
      <c r="JK22" s="179"/>
      <c r="JL22" s="179"/>
      <c r="JM22" s="179"/>
      <c r="JN22" s="179"/>
      <c r="JO22" s="179"/>
      <c r="JP22" s="179"/>
      <c r="JQ22" s="179"/>
      <c r="JR22" s="179"/>
      <c r="JS22" s="179"/>
      <c r="JT22" s="179"/>
      <c r="JU22" s="179"/>
      <c r="JV22" s="179"/>
      <c r="JW22" s="179"/>
      <c r="JX22" s="179"/>
      <c r="JY22" s="179"/>
      <c r="JZ22" s="179"/>
      <c r="KA22" s="179"/>
      <c r="KB22" s="179"/>
      <c r="KC22" s="179"/>
      <c r="KD22" s="179"/>
      <c r="KE22" s="179"/>
      <c r="KF22" s="179"/>
      <c r="KG22" s="179"/>
      <c r="KH22" s="179"/>
      <c r="KI22" s="179"/>
      <c r="KJ22" s="179"/>
      <c r="KK22" s="179"/>
      <c r="KL22" s="179"/>
      <c r="KM22" s="179"/>
      <c r="KN22" s="179"/>
      <c r="KO22" s="179"/>
      <c r="KP22" s="179"/>
      <c r="KQ22" s="179"/>
      <c r="KR22" s="179"/>
      <c r="KS22" s="179"/>
      <c r="KT22" s="179"/>
      <c r="KU22" s="179"/>
      <c r="KV22" s="179"/>
      <c r="KW22" s="179"/>
      <c r="KX22" s="179"/>
      <c r="KY22" s="179"/>
      <c r="KZ22" s="179"/>
      <c r="LA22" s="179"/>
      <c r="LB22" s="179"/>
      <c r="LC22" s="179"/>
      <c r="LD22" s="179"/>
      <c r="LE22" s="179"/>
      <c r="LF22" s="179"/>
      <c r="LG22" s="179"/>
      <c r="LH22" s="179"/>
      <c r="LI22" s="179"/>
      <c r="LJ22" s="179"/>
      <c r="LK22" s="179"/>
      <c r="LL22" s="179"/>
      <c r="LM22" s="179"/>
      <c r="LN22" s="179"/>
      <c r="LO22" s="179"/>
      <c r="LP22" s="179"/>
      <c r="LQ22" s="179"/>
      <c r="LR22" s="179"/>
      <c r="LS22" s="179"/>
      <c r="LT22" s="179"/>
      <c r="LU22" s="179"/>
      <c r="LV22" s="179"/>
      <c r="LW22" s="179"/>
      <c r="LX22" s="179"/>
      <c r="LY22" s="179"/>
      <c r="LZ22" s="179"/>
      <c r="MA22" s="179"/>
      <c r="MB22" s="179"/>
      <c r="MC22" s="179"/>
      <c r="MD22" s="179"/>
      <c r="ME22" s="179"/>
      <c r="MF22" s="179"/>
      <c r="MG22" s="179"/>
      <c r="MH22" s="179"/>
      <c r="MI22" s="179"/>
      <c r="MJ22" s="179"/>
      <c r="MK22" s="179"/>
      <c r="ML22" s="179"/>
      <c r="MM22" s="179"/>
      <c r="MN22" s="179"/>
      <c r="MO22" s="179"/>
      <c r="MP22" s="179"/>
      <c r="MQ22" s="179"/>
      <c r="MR22" s="179"/>
      <c r="MS22" s="179"/>
      <c r="MT22" s="179"/>
      <c r="MU22" s="179"/>
      <c r="MV22" s="179"/>
      <c r="MW22" s="179"/>
      <c r="MX22" s="179"/>
      <c r="MY22" s="179"/>
      <c r="MZ22" s="179"/>
      <c r="NA22" s="179"/>
      <c r="NB22" s="179"/>
      <c r="NC22" s="179"/>
      <c r="ND22" s="179"/>
      <c r="NE22" s="179"/>
      <c r="NF22" s="179"/>
      <c r="NG22" s="179"/>
      <c r="NH22" s="179"/>
      <c r="NI22" s="179"/>
      <c r="NJ22" s="179"/>
      <c r="NK22" s="179"/>
      <c r="NL22" s="179"/>
      <c r="NM22" s="179"/>
      <c r="NN22" s="179"/>
      <c r="NO22" s="179"/>
      <c r="NP22" s="179"/>
      <c r="NQ22" s="179"/>
      <c r="NR22" s="179"/>
      <c r="NS22" s="179"/>
      <c r="NT22" s="179"/>
      <c r="NU22" s="179"/>
      <c r="NV22" s="179"/>
      <c r="NW22" s="179"/>
      <c r="NX22" s="179"/>
      <c r="NY22" s="179"/>
      <c r="NZ22" s="179"/>
      <c r="OA22" s="179"/>
      <c r="OB22" s="179"/>
      <c r="OC22" s="179"/>
      <c r="OD22" s="179"/>
      <c r="OE22" s="179"/>
      <c r="OF22" s="179"/>
      <c r="OG22" s="179"/>
      <c r="OH22" s="179"/>
      <c r="OI22" s="179"/>
      <c r="OJ22" s="179"/>
      <c r="OK22" s="179"/>
      <c r="OL22" s="179"/>
      <c r="OM22" s="179"/>
      <c r="ON22" s="179"/>
      <c r="OO22" s="179"/>
      <c r="OP22" s="179"/>
      <c r="OQ22" s="179"/>
      <c r="OR22" s="179"/>
      <c r="OS22" s="179"/>
      <c r="OT22" s="179"/>
      <c r="OU22" s="179"/>
      <c r="OV22" s="179"/>
      <c r="OW22" s="179"/>
      <c r="OX22" s="179"/>
      <c r="OY22" s="179"/>
      <c r="OZ22" s="179"/>
      <c r="PA22" s="179"/>
      <c r="PB22" s="179"/>
      <c r="PC22" s="179"/>
      <c r="PD22" s="179"/>
      <c r="PE22" s="179"/>
      <c r="PF22" s="179"/>
      <c r="PG22" s="179"/>
      <c r="PH22" s="179"/>
      <c r="PI22" s="179"/>
      <c r="PJ22" s="179"/>
      <c r="PK22" s="179"/>
      <c r="PL22" s="179"/>
      <c r="PM22" s="179"/>
      <c r="PN22" s="179"/>
      <c r="PO22" s="179"/>
      <c r="PP22" s="179"/>
      <c r="PQ22" s="179"/>
      <c r="PR22" s="179"/>
      <c r="PS22" s="179"/>
      <c r="PT22" s="179"/>
      <c r="PU22" s="179"/>
      <c r="PV22" s="179"/>
      <c r="PW22" s="179"/>
      <c r="PX22" s="179"/>
      <c r="PY22" s="179"/>
      <c r="PZ22" s="179"/>
      <c r="QA22" s="179"/>
      <c r="QB22" s="179"/>
      <c r="QC22" s="179"/>
      <c r="QD22" s="179"/>
      <c r="QE22" s="179"/>
      <c r="QF22" s="179"/>
      <c r="QG22" s="179"/>
      <c r="QH22" s="179"/>
      <c r="QI22" s="179"/>
      <c r="QJ22" s="179"/>
      <c r="QK22" s="179"/>
      <c r="QL22" s="179"/>
      <c r="QM22" s="179"/>
      <c r="QN22" s="179"/>
      <c r="QO22" s="179"/>
      <c r="QP22" s="179"/>
      <c r="QQ22" s="179"/>
      <c r="QR22" s="179"/>
      <c r="QS22" s="179"/>
      <c r="QT22" s="179"/>
      <c r="QU22" s="179"/>
      <c r="QV22" s="179"/>
      <c r="QW22" s="179"/>
      <c r="QX22" s="179"/>
      <c r="QY22" s="179"/>
      <c r="QZ22" s="179"/>
      <c r="RA22" s="179"/>
      <c r="RB22" s="179"/>
      <c r="RC22" s="179"/>
      <c r="RD22" s="179"/>
      <c r="RE22" s="179"/>
      <c r="RF22" s="179"/>
      <c r="RG22" s="179"/>
      <c r="RH22" s="179"/>
      <c r="RI22" s="179"/>
      <c r="RJ22" s="179"/>
      <c r="RK22" s="179"/>
      <c r="RL22" s="179"/>
      <c r="ICU22" s="150" t="s">
        <v>174</v>
      </c>
      <c r="ICV22" s="186"/>
      <c r="ICW22" s="179"/>
      <c r="ICX22" s="179"/>
      <c r="ICY22" s="179"/>
      <c r="ICZ22" s="179"/>
      <c r="IDA22" s="179"/>
      <c r="IDB22" s="179"/>
      <c r="IDC22" s="179"/>
      <c r="IDD22" s="179"/>
      <c r="IDE22" s="179"/>
      <c r="IDF22" s="179"/>
      <c r="IDG22" s="179"/>
      <c r="IDH22" s="179"/>
      <c r="IDI22" s="179"/>
      <c r="IDJ22" s="179"/>
      <c r="IDK22" s="179"/>
      <c r="IDL22" s="179"/>
      <c r="IDM22" s="179"/>
      <c r="IDN22" s="179"/>
      <c r="IDO22" s="179"/>
      <c r="IDP22" s="179"/>
      <c r="IDQ22" s="179"/>
      <c r="IDR22" s="179"/>
      <c r="IDS22" s="179"/>
      <c r="IDT22" s="179"/>
      <c r="IDU22" s="179"/>
      <c r="IDV22" s="179"/>
      <c r="IDW22" s="179"/>
      <c r="IDX22" s="179"/>
      <c r="IDY22" s="179"/>
      <c r="IDZ22" s="179"/>
      <c r="IEA22" s="179"/>
      <c r="IEB22" s="179"/>
      <c r="IEC22" s="179"/>
      <c r="IED22" s="179"/>
      <c r="IEE22" s="179"/>
      <c r="IEF22" s="179"/>
      <c r="IEG22" s="179"/>
      <c r="IEH22" s="179"/>
      <c r="IEI22" s="179"/>
      <c r="IEJ22" s="179"/>
      <c r="IEK22" s="179"/>
      <c r="IEL22" s="179"/>
      <c r="IEM22" s="179"/>
      <c r="IEN22" s="179"/>
      <c r="IEO22" s="179"/>
      <c r="IEP22" s="179"/>
      <c r="IEQ22" s="179"/>
      <c r="IER22" s="179"/>
      <c r="IES22" s="179"/>
      <c r="IET22" s="179"/>
      <c r="IEU22" s="179"/>
      <c r="IEV22" s="179"/>
      <c r="IEW22" s="179"/>
      <c r="IEX22" s="179"/>
      <c r="IEY22" s="179"/>
      <c r="IEZ22" s="179"/>
      <c r="IFA22" s="179"/>
      <c r="IFB22" s="179"/>
      <c r="IFC22" s="179"/>
      <c r="IFD22" s="179"/>
      <c r="IFE22" s="179"/>
      <c r="IFF22" s="179"/>
      <c r="IFG22" s="179"/>
      <c r="IFH22" s="179"/>
      <c r="IFI22" s="179"/>
      <c r="IFJ22" s="179"/>
      <c r="IFK22" s="179"/>
      <c r="IFL22" s="179"/>
      <c r="IFM22" s="179"/>
      <c r="IFN22" s="179"/>
      <c r="IFO22" s="179"/>
      <c r="IFP22" s="179"/>
      <c r="IFQ22" s="179"/>
      <c r="IFR22" s="179"/>
      <c r="IFS22" s="179"/>
      <c r="IFT22" s="179"/>
      <c r="IFU22" s="179"/>
      <c r="IFV22" s="179"/>
      <c r="IFW22" s="179"/>
      <c r="IFX22" s="179"/>
      <c r="IFY22" s="179"/>
      <c r="IFZ22" s="179"/>
      <c r="IGA22" s="179"/>
      <c r="IGB22" s="179"/>
      <c r="IGC22" s="179"/>
      <c r="IGD22" s="179"/>
      <c r="IGE22" s="179"/>
      <c r="IGF22" s="179"/>
      <c r="IGG22" s="179"/>
      <c r="IGH22" s="179"/>
      <c r="IGI22" s="179"/>
      <c r="IGJ22" s="179"/>
      <c r="IGK22" s="179"/>
      <c r="IGL22" s="179"/>
      <c r="IGM22" s="179"/>
      <c r="IGN22" s="179"/>
      <c r="IGO22" s="179"/>
      <c r="IGP22" s="179"/>
      <c r="IGQ22" s="179"/>
      <c r="IGR22" s="179"/>
      <c r="IGS22" s="179"/>
      <c r="IGT22" s="179"/>
      <c r="IGU22" s="179"/>
      <c r="IGV22" s="179"/>
      <c r="IGW22" s="179"/>
      <c r="IGX22" s="179"/>
      <c r="IGY22" s="179"/>
      <c r="IGZ22" s="179"/>
      <c r="IHA22" s="179"/>
      <c r="IHB22" s="179"/>
      <c r="IHC22" s="179"/>
      <c r="IHD22" s="179"/>
      <c r="IHE22" s="179"/>
      <c r="IHF22" s="179"/>
      <c r="IHG22" s="179"/>
      <c r="IHH22" s="179"/>
      <c r="IHI22" s="179"/>
      <c r="IHJ22" s="179"/>
      <c r="IHK22" s="179"/>
      <c r="IHL22" s="179"/>
      <c r="IHM22" s="179"/>
      <c r="IHN22" s="179"/>
      <c r="IHO22" s="179"/>
      <c r="IHP22" s="179"/>
      <c r="IHQ22" s="179"/>
      <c r="IHR22" s="179"/>
      <c r="IHS22" s="179"/>
      <c r="IHT22" s="179"/>
      <c r="IHU22" s="179"/>
      <c r="IHV22" s="179"/>
      <c r="IHW22" s="179"/>
      <c r="IHX22" s="179"/>
      <c r="IHY22" s="179"/>
      <c r="IHZ22" s="179"/>
      <c r="IIA22" s="179"/>
      <c r="IIB22" s="179"/>
      <c r="IIC22" s="179"/>
      <c r="IID22" s="179"/>
      <c r="IIE22" s="179"/>
      <c r="IIF22" s="179"/>
      <c r="IIG22" s="179"/>
      <c r="IIH22" s="179"/>
      <c r="III22" s="179"/>
      <c r="IIJ22" s="179"/>
      <c r="IIK22" s="179"/>
      <c r="IIL22" s="179"/>
      <c r="IIM22" s="179"/>
      <c r="IIN22" s="179"/>
      <c r="IIO22" s="179"/>
      <c r="IIP22" s="179"/>
      <c r="IIQ22" s="179"/>
      <c r="IIR22" s="179"/>
      <c r="IIS22" s="179"/>
      <c r="IIT22" s="179"/>
      <c r="IIU22" s="179"/>
      <c r="IIV22" s="179"/>
      <c r="IIW22" s="179"/>
      <c r="IIX22" s="179"/>
      <c r="IIY22" s="179"/>
      <c r="IIZ22" s="179"/>
      <c r="IJA22" s="179"/>
      <c r="IJB22" s="179"/>
      <c r="IJC22" s="179"/>
      <c r="IJD22" s="179"/>
      <c r="IJE22" s="179"/>
      <c r="IJF22" s="179"/>
      <c r="IJG22" s="179"/>
      <c r="IJH22" s="179"/>
      <c r="IJI22" s="179"/>
      <c r="IJJ22" s="179"/>
      <c r="IJK22" s="179"/>
      <c r="IJL22" s="179"/>
      <c r="IJM22" s="179"/>
      <c r="IJN22" s="179"/>
      <c r="IJO22" s="179"/>
      <c r="IJP22" s="179"/>
      <c r="IJQ22" s="179"/>
      <c r="IJR22" s="179"/>
      <c r="IJS22" s="179"/>
      <c r="IJT22" s="179"/>
      <c r="IJU22" s="179"/>
      <c r="IJV22" s="179"/>
      <c r="IJW22" s="179"/>
      <c r="IJX22" s="179"/>
      <c r="IJY22" s="179"/>
      <c r="IJZ22" s="179"/>
      <c r="IKA22" s="179"/>
      <c r="IKB22" s="179"/>
      <c r="IKC22" s="179"/>
      <c r="IKD22" s="179"/>
      <c r="IKE22" s="179"/>
      <c r="IKF22" s="179"/>
      <c r="IKG22" s="179"/>
      <c r="IKH22" s="179"/>
      <c r="IKI22" s="179"/>
      <c r="IKJ22" s="179"/>
      <c r="IKK22" s="179"/>
      <c r="IKL22" s="179"/>
      <c r="IKM22" s="179"/>
      <c r="IKN22" s="179"/>
      <c r="IKO22" s="179"/>
      <c r="IKP22" s="179"/>
      <c r="IKQ22" s="179"/>
      <c r="IKR22" s="179"/>
      <c r="IKS22" s="179"/>
      <c r="IKT22" s="179"/>
      <c r="IKU22" s="179"/>
      <c r="IKV22" s="179"/>
      <c r="IKW22" s="179"/>
      <c r="IKX22" s="179"/>
      <c r="IKY22" s="179"/>
      <c r="IKZ22" s="179"/>
      <c r="ILA22" s="179"/>
      <c r="ILB22" s="179"/>
      <c r="ILC22" s="179"/>
      <c r="ILD22" s="179"/>
      <c r="ILE22" s="179"/>
      <c r="ILF22" s="179"/>
      <c r="ILG22" s="179"/>
      <c r="ILH22" s="179"/>
      <c r="ILI22" s="179"/>
      <c r="ILJ22" s="179"/>
      <c r="ILK22" s="179"/>
      <c r="ILL22" s="179"/>
      <c r="ILM22" s="179"/>
      <c r="ILN22" s="179"/>
      <c r="ILO22" s="179"/>
      <c r="ILP22" s="179"/>
      <c r="ILQ22" s="179"/>
      <c r="ILR22" s="179"/>
      <c r="ILS22" s="179"/>
      <c r="ILT22" s="179"/>
      <c r="ILU22" s="179"/>
      <c r="ILV22" s="179"/>
      <c r="ILW22" s="179"/>
      <c r="ILX22" s="179"/>
      <c r="ILY22" s="179"/>
      <c r="ILZ22" s="179"/>
      <c r="IMA22" s="179"/>
      <c r="IMB22" s="179"/>
      <c r="IMC22" s="179"/>
      <c r="IMD22" s="179"/>
      <c r="IME22" s="179"/>
      <c r="IMF22" s="179"/>
      <c r="IMG22" s="179"/>
      <c r="IMH22" s="179"/>
      <c r="IMI22" s="179"/>
      <c r="IMJ22" s="179"/>
      <c r="IMK22" s="179"/>
      <c r="IML22" s="179"/>
      <c r="IMM22" s="179"/>
      <c r="IMN22" s="179"/>
      <c r="IMO22" s="179"/>
      <c r="IMP22" s="179"/>
      <c r="IMQ22" s="179"/>
      <c r="IMR22" s="179"/>
      <c r="IMS22" s="179"/>
      <c r="IMT22" s="179"/>
      <c r="IMU22" s="179"/>
      <c r="IMV22" s="179"/>
      <c r="IMW22" s="179"/>
      <c r="IMX22" s="179"/>
      <c r="IMY22" s="179"/>
      <c r="IMZ22" s="179"/>
      <c r="INA22" s="179"/>
      <c r="INB22" s="179"/>
      <c r="INC22" s="179"/>
      <c r="IND22" s="179"/>
      <c r="INE22" s="179"/>
      <c r="INF22" s="179"/>
      <c r="ING22" s="179"/>
      <c r="INH22" s="179"/>
      <c r="INI22" s="179"/>
      <c r="INJ22" s="179"/>
      <c r="INK22" s="179"/>
      <c r="INL22" s="179"/>
      <c r="INM22" s="179"/>
      <c r="INN22" s="179"/>
      <c r="INO22" s="179"/>
      <c r="INP22" s="179"/>
      <c r="INQ22" s="179"/>
      <c r="INR22" s="179"/>
      <c r="INS22" s="179"/>
      <c r="INT22" s="179"/>
      <c r="INU22" s="179"/>
      <c r="INV22" s="179"/>
      <c r="INW22" s="179"/>
      <c r="INX22" s="179"/>
      <c r="INY22" s="179"/>
      <c r="INZ22" s="179"/>
      <c r="IOA22" s="179"/>
      <c r="IOB22" s="179"/>
      <c r="IOC22" s="179"/>
      <c r="IOD22" s="179"/>
      <c r="IOE22" s="179"/>
      <c r="IOF22" s="179"/>
      <c r="IOG22" s="179"/>
      <c r="IOH22" s="179"/>
      <c r="IOI22" s="179"/>
      <c r="IOJ22" s="179"/>
      <c r="IOK22" s="179"/>
      <c r="IOL22" s="179"/>
      <c r="IOM22" s="179"/>
      <c r="ION22" s="179"/>
      <c r="IOO22" s="179"/>
      <c r="IOP22" s="179"/>
      <c r="IOQ22" s="179"/>
      <c r="IOR22" s="179"/>
      <c r="IOS22" s="179"/>
      <c r="IOT22" s="179"/>
      <c r="IOU22" s="179"/>
      <c r="IOV22" s="179"/>
      <c r="IOW22" s="179"/>
      <c r="IOX22" s="179"/>
      <c r="IOY22" s="179"/>
      <c r="IOZ22" s="179"/>
      <c r="IPA22" s="179"/>
      <c r="IPB22" s="179"/>
      <c r="IPC22" s="179"/>
      <c r="IPD22" s="179"/>
      <c r="IPE22" s="179"/>
      <c r="IPF22" s="179"/>
      <c r="IPG22" s="179"/>
      <c r="IPH22" s="179"/>
      <c r="IPI22" s="179"/>
      <c r="IPJ22" s="179"/>
      <c r="IPK22" s="179"/>
      <c r="IPL22" s="179"/>
      <c r="IPM22" s="179"/>
      <c r="IPN22" s="179"/>
      <c r="IPO22" s="179"/>
      <c r="IPP22" s="179"/>
      <c r="IPQ22" s="179"/>
      <c r="IPR22" s="179"/>
      <c r="IPS22" s="179"/>
      <c r="IPT22" s="179"/>
      <c r="IPU22" s="179"/>
      <c r="IPV22" s="179"/>
      <c r="IPW22" s="179"/>
      <c r="IPX22" s="179"/>
      <c r="IPY22" s="179"/>
      <c r="IPZ22" s="179"/>
      <c r="IQA22" s="179"/>
      <c r="IQB22" s="179"/>
      <c r="IQC22" s="179"/>
      <c r="IQD22" s="179"/>
      <c r="IQE22" s="179"/>
      <c r="IQF22" s="179"/>
      <c r="IQG22" s="179"/>
      <c r="IQH22" s="179"/>
      <c r="IQI22" s="179"/>
      <c r="IQJ22" s="179"/>
      <c r="IQK22" s="179"/>
      <c r="IQL22" s="179"/>
      <c r="IQM22" s="179"/>
      <c r="IQN22" s="179"/>
      <c r="IQO22" s="179"/>
      <c r="IQP22" s="179"/>
      <c r="IQQ22" s="179"/>
      <c r="IQR22" s="179"/>
      <c r="IQS22" s="179"/>
      <c r="IQT22" s="179"/>
      <c r="IQU22" s="179"/>
      <c r="IQV22" s="179"/>
      <c r="IQW22" s="179"/>
      <c r="IQX22" s="179"/>
      <c r="IQY22" s="179"/>
      <c r="IQZ22" s="179"/>
      <c r="IRA22" s="179"/>
      <c r="IRB22" s="179"/>
      <c r="IRC22" s="179"/>
      <c r="IRD22" s="179"/>
      <c r="IRE22" s="179"/>
      <c r="IRF22" s="179"/>
      <c r="IRG22" s="179"/>
      <c r="IRH22" s="179"/>
      <c r="IRI22" s="179"/>
      <c r="IRJ22" s="179"/>
      <c r="IRK22" s="179"/>
      <c r="IRL22" s="179"/>
      <c r="IRM22" s="179"/>
      <c r="IRN22" s="179"/>
      <c r="IRO22" s="179"/>
      <c r="IRP22" s="179"/>
      <c r="IRQ22" s="179"/>
      <c r="IRR22" s="179"/>
      <c r="IRS22" s="179"/>
      <c r="IRT22" s="179"/>
      <c r="IRU22" s="179"/>
      <c r="IRV22" s="179"/>
      <c r="IRW22" s="179"/>
      <c r="IRX22" s="179"/>
      <c r="IRY22" s="179"/>
      <c r="IRZ22" s="179"/>
      <c r="ISA22" s="179"/>
      <c r="ISB22" s="179"/>
      <c r="ISC22" s="179"/>
      <c r="ISD22" s="179"/>
      <c r="ISE22" s="179"/>
      <c r="ISF22" s="179"/>
      <c r="ISG22" s="179"/>
      <c r="ISH22" s="179"/>
      <c r="ISI22" s="179"/>
      <c r="ISJ22" s="179"/>
      <c r="ISK22" s="179"/>
      <c r="ISL22" s="179"/>
      <c r="ISM22" s="179"/>
      <c r="ISN22" s="179"/>
      <c r="ISO22" s="179"/>
      <c r="ISP22" s="179"/>
      <c r="ISQ22" s="179"/>
      <c r="ISR22" s="179"/>
      <c r="ISS22" s="179"/>
      <c r="IST22" s="179"/>
      <c r="ISU22" s="179"/>
      <c r="ISV22" s="179"/>
      <c r="ISW22" s="179"/>
      <c r="ISX22" s="179"/>
      <c r="ISY22" s="179"/>
      <c r="ISZ22" s="179"/>
      <c r="ITA22" s="179"/>
      <c r="ITB22" s="179"/>
      <c r="ITC22" s="179"/>
      <c r="ITD22" s="179"/>
      <c r="ITE22" s="179"/>
      <c r="ITF22" s="179"/>
      <c r="ITG22" s="179"/>
      <c r="ITH22" s="179"/>
      <c r="ITI22" s="179"/>
      <c r="ITJ22" s="179"/>
      <c r="ITK22" s="179"/>
      <c r="ITL22" s="179"/>
      <c r="ITM22" s="179"/>
      <c r="ITN22" s="179"/>
      <c r="ITO22" s="179"/>
      <c r="ITP22" s="179"/>
      <c r="ITQ22" s="179"/>
      <c r="ITR22" s="179"/>
      <c r="ITS22" s="179"/>
      <c r="ITT22" s="179"/>
      <c r="ITU22" s="179"/>
      <c r="ITV22" s="179"/>
      <c r="ITW22" s="179"/>
      <c r="ITX22" s="179"/>
      <c r="ITY22" s="179"/>
      <c r="ITZ22" s="179"/>
      <c r="IUA22" s="179"/>
      <c r="IUB22" s="179"/>
      <c r="IUC22" s="179"/>
      <c r="IUD22" s="179"/>
      <c r="IUE22" s="179"/>
      <c r="IUF22" s="179"/>
      <c r="IUG22" s="179"/>
      <c r="IUH22" s="179"/>
      <c r="IUI22" s="179"/>
      <c r="IUJ22" s="179"/>
      <c r="IUK22" s="179"/>
      <c r="IUL22" s="179"/>
      <c r="IUM22" s="179"/>
      <c r="IUN22" s="179"/>
      <c r="IUO22" s="179"/>
      <c r="IUP22" s="179"/>
      <c r="IUQ22" s="179"/>
      <c r="IUR22" s="179"/>
      <c r="IUS22" s="179"/>
      <c r="IUT22" s="179"/>
    </row>
    <row r="23" spans="1:16381" s="125" customFormat="1" ht="106.5" customHeight="1">
      <c r="C23" s="173">
        <v>13</v>
      </c>
      <c r="D23" s="174" t="s">
        <v>175</v>
      </c>
      <c r="E23" s="158"/>
      <c r="F23" s="158"/>
      <c r="G23" s="158"/>
      <c r="H23" s="175">
        <v>4</v>
      </c>
      <c r="I23" s="175">
        <f>IF(E23="O",4,IF(F23="O",2,IF(G23="O",0,0)))</f>
        <v>0</v>
      </c>
      <c r="J23" s="176">
        <f>I23*100/$H$21</f>
        <v>0</v>
      </c>
      <c r="K23" s="203"/>
      <c r="M23" s="178">
        <v>4</v>
      </c>
      <c r="BR23" s="179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79"/>
      <c r="CH23" s="179"/>
      <c r="CI23" s="179"/>
      <c r="CJ23" s="179"/>
      <c r="CK23" s="179"/>
      <c r="CL23" s="179"/>
      <c r="CM23" s="179"/>
      <c r="CN23" s="179"/>
      <c r="CO23" s="179"/>
      <c r="CP23" s="179"/>
      <c r="CQ23" s="179"/>
      <c r="CR23" s="179"/>
      <c r="CS23" s="179"/>
      <c r="CT23" s="179"/>
      <c r="CU23" s="179"/>
      <c r="CV23" s="179"/>
      <c r="CW23" s="179"/>
      <c r="CX23" s="179"/>
      <c r="CY23" s="179"/>
      <c r="CZ23" s="179"/>
      <c r="DA23" s="179"/>
      <c r="DB23" s="179"/>
      <c r="DC23" s="179"/>
      <c r="DD23" s="179"/>
      <c r="DE23" s="179"/>
      <c r="DF23" s="179"/>
      <c r="DG23" s="179"/>
      <c r="DH23" s="179"/>
      <c r="DI23" s="179"/>
      <c r="DJ23" s="179"/>
      <c r="DK23" s="179"/>
      <c r="DL23" s="179"/>
      <c r="DM23" s="179"/>
      <c r="DN23" s="179"/>
      <c r="DO23" s="179"/>
      <c r="DP23" s="179"/>
      <c r="DQ23" s="179"/>
      <c r="DR23" s="179"/>
      <c r="DS23" s="179"/>
      <c r="DT23" s="179"/>
      <c r="DU23" s="179"/>
      <c r="DV23" s="179"/>
      <c r="DW23" s="179"/>
      <c r="DX23" s="179"/>
      <c r="DY23" s="179"/>
      <c r="DZ23" s="179"/>
      <c r="EA23" s="179"/>
      <c r="EB23" s="179"/>
      <c r="EC23" s="179"/>
      <c r="ED23" s="179"/>
      <c r="EE23" s="179"/>
      <c r="EF23" s="179"/>
      <c r="EG23" s="179"/>
      <c r="EH23" s="179"/>
      <c r="EI23" s="179"/>
      <c r="EJ23" s="179"/>
      <c r="EK23" s="179"/>
      <c r="EL23" s="179"/>
      <c r="EM23" s="179"/>
      <c r="EN23" s="179"/>
      <c r="EO23" s="179"/>
      <c r="EP23" s="179"/>
      <c r="EQ23" s="179"/>
      <c r="ER23" s="179"/>
      <c r="ES23" s="179"/>
      <c r="ET23" s="179"/>
      <c r="EU23" s="179"/>
      <c r="EV23" s="179"/>
      <c r="EW23" s="179"/>
      <c r="EX23" s="179"/>
      <c r="EY23" s="179"/>
      <c r="EZ23" s="179"/>
      <c r="FA23" s="179"/>
      <c r="FB23" s="179"/>
      <c r="FC23" s="179"/>
      <c r="FD23" s="179"/>
      <c r="FE23" s="179"/>
      <c r="FF23" s="179"/>
      <c r="FG23" s="179"/>
      <c r="FH23" s="179"/>
      <c r="FI23" s="179"/>
      <c r="FJ23" s="179"/>
      <c r="FK23" s="179"/>
      <c r="FL23" s="179"/>
      <c r="FM23" s="179"/>
      <c r="FN23" s="179"/>
      <c r="FO23" s="179"/>
      <c r="FP23" s="179"/>
      <c r="FQ23" s="179"/>
      <c r="FR23" s="179"/>
      <c r="FS23" s="179"/>
      <c r="FT23" s="179"/>
      <c r="FU23" s="179"/>
      <c r="FV23" s="179"/>
      <c r="FW23" s="179"/>
      <c r="FX23" s="179"/>
      <c r="FY23" s="179"/>
      <c r="FZ23" s="179"/>
      <c r="GA23" s="179"/>
      <c r="GB23" s="179"/>
      <c r="GC23" s="179"/>
      <c r="GD23" s="179"/>
      <c r="GE23" s="179"/>
      <c r="GF23" s="179"/>
      <c r="GG23" s="179"/>
      <c r="GH23" s="179"/>
      <c r="GI23" s="179"/>
      <c r="GJ23" s="179"/>
      <c r="GK23" s="179"/>
      <c r="GL23" s="179"/>
      <c r="GM23" s="179"/>
      <c r="GN23" s="179"/>
      <c r="GO23" s="179"/>
      <c r="GP23" s="179"/>
      <c r="GQ23" s="179"/>
      <c r="GR23" s="179"/>
      <c r="GS23" s="179"/>
      <c r="GT23" s="179"/>
      <c r="GU23" s="179"/>
      <c r="GV23" s="179"/>
      <c r="GW23" s="179"/>
      <c r="GX23" s="179"/>
      <c r="GY23" s="179"/>
      <c r="GZ23" s="179"/>
      <c r="HA23" s="179"/>
      <c r="HB23" s="179"/>
      <c r="HC23" s="179"/>
      <c r="HD23" s="179"/>
      <c r="HE23" s="179"/>
      <c r="HF23" s="179"/>
      <c r="HG23" s="179"/>
      <c r="HH23" s="179"/>
      <c r="HI23" s="179"/>
      <c r="HJ23" s="179"/>
      <c r="HK23" s="179"/>
      <c r="HL23" s="179"/>
      <c r="HM23" s="179"/>
      <c r="HN23" s="179"/>
      <c r="HO23" s="179"/>
      <c r="HP23" s="179"/>
      <c r="HQ23" s="179"/>
      <c r="HR23" s="179"/>
      <c r="HS23" s="179"/>
      <c r="HT23" s="179"/>
      <c r="HU23" s="179"/>
      <c r="HV23" s="179"/>
      <c r="HW23" s="179"/>
      <c r="HX23" s="179"/>
      <c r="HY23" s="179"/>
      <c r="HZ23" s="179"/>
      <c r="IA23" s="179"/>
      <c r="IB23" s="179"/>
      <c r="IC23" s="179"/>
      <c r="ID23" s="179"/>
      <c r="IE23" s="179"/>
      <c r="IF23" s="179"/>
      <c r="IG23" s="179"/>
      <c r="IH23" s="179"/>
      <c r="II23" s="179"/>
      <c r="IJ23" s="179"/>
      <c r="IK23" s="179"/>
      <c r="IL23" s="179"/>
      <c r="IM23" s="179"/>
      <c r="IN23" s="179"/>
      <c r="IO23" s="179"/>
      <c r="IP23" s="179"/>
      <c r="IQ23" s="179"/>
      <c r="IR23" s="179"/>
      <c r="IS23" s="179"/>
      <c r="IT23" s="179"/>
      <c r="IU23" s="179"/>
      <c r="IV23" s="179"/>
      <c r="IW23" s="179"/>
      <c r="IX23" s="179"/>
      <c r="IY23" s="179"/>
      <c r="IZ23" s="179"/>
      <c r="JA23" s="179"/>
      <c r="JB23" s="179"/>
      <c r="JC23" s="179"/>
      <c r="JD23" s="179"/>
      <c r="JE23" s="179"/>
      <c r="JF23" s="179"/>
      <c r="JG23" s="179"/>
      <c r="JH23" s="179"/>
      <c r="JI23" s="179"/>
      <c r="JJ23" s="179"/>
      <c r="JK23" s="179"/>
      <c r="JL23" s="179"/>
      <c r="JM23" s="179"/>
      <c r="JN23" s="179"/>
      <c r="JO23" s="179"/>
      <c r="JP23" s="179"/>
      <c r="JQ23" s="179"/>
      <c r="JR23" s="179"/>
      <c r="JS23" s="179"/>
      <c r="JT23" s="179"/>
      <c r="JU23" s="179"/>
      <c r="JV23" s="179"/>
      <c r="JW23" s="179"/>
      <c r="JX23" s="179"/>
      <c r="JY23" s="179"/>
      <c r="JZ23" s="179"/>
      <c r="KA23" s="179"/>
      <c r="KB23" s="179"/>
      <c r="KC23" s="179"/>
      <c r="KD23" s="179"/>
      <c r="KE23" s="179"/>
      <c r="KF23" s="179"/>
      <c r="KG23" s="179"/>
      <c r="KH23" s="179"/>
      <c r="KI23" s="179"/>
      <c r="KJ23" s="179"/>
      <c r="KK23" s="179"/>
      <c r="KL23" s="179"/>
      <c r="KM23" s="179"/>
      <c r="KN23" s="179"/>
      <c r="KO23" s="179"/>
      <c r="KP23" s="179"/>
      <c r="KQ23" s="179"/>
      <c r="KR23" s="179"/>
      <c r="KS23" s="179"/>
      <c r="KT23" s="179"/>
      <c r="KU23" s="179"/>
      <c r="KV23" s="179"/>
      <c r="KW23" s="179"/>
      <c r="KX23" s="179"/>
      <c r="KY23" s="179"/>
      <c r="KZ23" s="179"/>
      <c r="LA23" s="179"/>
      <c r="LB23" s="179"/>
      <c r="LC23" s="179"/>
      <c r="LD23" s="179"/>
      <c r="LE23" s="179"/>
      <c r="LF23" s="179"/>
      <c r="LG23" s="179"/>
      <c r="LH23" s="179"/>
      <c r="LI23" s="179"/>
      <c r="LJ23" s="179"/>
      <c r="LK23" s="179"/>
      <c r="LL23" s="179"/>
      <c r="LM23" s="179"/>
      <c r="LN23" s="179"/>
      <c r="LO23" s="179"/>
      <c r="LP23" s="179"/>
      <c r="LQ23" s="179"/>
      <c r="LR23" s="179"/>
      <c r="LS23" s="179"/>
      <c r="LT23" s="179"/>
      <c r="LU23" s="179"/>
      <c r="LV23" s="179"/>
      <c r="LW23" s="179"/>
      <c r="LX23" s="179"/>
      <c r="LY23" s="179"/>
      <c r="LZ23" s="179"/>
      <c r="MA23" s="179"/>
      <c r="MB23" s="179"/>
      <c r="MC23" s="179"/>
      <c r="MD23" s="179"/>
      <c r="ME23" s="179"/>
      <c r="MF23" s="179"/>
      <c r="MG23" s="179"/>
      <c r="MH23" s="179"/>
      <c r="MI23" s="179"/>
      <c r="MJ23" s="179"/>
      <c r="MK23" s="179"/>
      <c r="ML23" s="179"/>
      <c r="MM23" s="179"/>
      <c r="MN23" s="179"/>
      <c r="MO23" s="179"/>
      <c r="MP23" s="179"/>
      <c r="MQ23" s="179"/>
      <c r="MR23" s="179"/>
      <c r="MS23" s="179"/>
      <c r="MT23" s="179"/>
      <c r="MU23" s="179"/>
      <c r="MV23" s="179"/>
      <c r="MW23" s="179"/>
      <c r="MX23" s="179"/>
      <c r="MY23" s="179"/>
      <c r="MZ23" s="179"/>
      <c r="NA23" s="179"/>
      <c r="NB23" s="179"/>
      <c r="NC23" s="179"/>
      <c r="ND23" s="179"/>
      <c r="NE23" s="179"/>
      <c r="NF23" s="179"/>
      <c r="NG23" s="179"/>
      <c r="NH23" s="179"/>
      <c r="NI23" s="179"/>
      <c r="NJ23" s="179"/>
      <c r="NK23" s="179"/>
      <c r="NL23" s="179"/>
      <c r="NM23" s="179"/>
      <c r="NN23" s="179"/>
      <c r="NO23" s="179"/>
      <c r="NP23" s="179"/>
      <c r="NQ23" s="179"/>
      <c r="NR23" s="179"/>
      <c r="NS23" s="179"/>
      <c r="NT23" s="179"/>
      <c r="NU23" s="179"/>
      <c r="NV23" s="179"/>
      <c r="NW23" s="179"/>
      <c r="NX23" s="179"/>
      <c r="NY23" s="179"/>
      <c r="NZ23" s="179"/>
      <c r="OA23" s="179"/>
      <c r="OB23" s="179"/>
      <c r="OC23" s="179"/>
      <c r="OD23" s="179"/>
      <c r="OE23" s="179"/>
      <c r="OF23" s="179"/>
      <c r="OG23" s="179"/>
      <c r="OH23" s="179"/>
      <c r="OI23" s="179"/>
      <c r="OJ23" s="179"/>
      <c r="OK23" s="179"/>
      <c r="OL23" s="179"/>
      <c r="OM23" s="179"/>
      <c r="ON23" s="179"/>
      <c r="OO23" s="179"/>
      <c r="OP23" s="179"/>
      <c r="OQ23" s="179"/>
      <c r="OR23" s="179"/>
      <c r="OS23" s="179"/>
      <c r="OT23" s="179"/>
      <c r="OU23" s="179"/>
      <c r="OV23" s="179"/>
      <c r="OW23" s="179"/>
      <c r="OX23" s="179"/>
      <c r="OY23" s="179"/>
      <c r="OZ23" s="179"/>
      <c r="PA23" s="179"/>
      <c r="PB23" s="179"/>
      <c r="PC23" s="179"/>
      <c r="PD23" s="179"/>
      <c r="PE23" s="179"/>
      <c r="PF23" s="179"/>
      <c r="PG23" s="179"/>
      <c r="PH23" s="179"/>
      <c r="PI23" s="179"/>
      <c r="PJ23" s="179"/>
      <c r="PK23" s="179"/>
      <c r="PL23" s="179"/>
      <c r="PM23" s="179"/>
      <c r="PN23" s="179"/>
      <c r="PO23" s="179"/>
      <c r="PP23" s="179"/>
      <c r="PQ23" s="179"/>
      <c r="PR23" s="179"/>
      <c r="PS23" s="179"/>
      <c r="PT23" s="179"/>
      <c r="PU23" s="179"/>
      <c r="PV23" s="179"/>
      <c r="PW23" s="179"/>
      <c r="PX23" s="179"/>
      <c r="PY23" s="179"/>
      <c r="PZ23" s="179"/>
      <c r="QA23" s="179"/>
      <c r="QB23" s="179"/>
      <c r="QC23" s="179"/>
      <c r="QD23" s="179"/>
      <c r="QE23" s="179"/>
      <c r="QF23" s="179"/>
      <c r="QG23" s="179"/>
      <c r="QH23" s="179"/>
      <c r="QI23" s="179"/>
      <c r="QJ23" s="179"/>
      <c r="QK23" s="179"/>
      <c r="QL23" s="179"/>
      <c r="QM23" s="179"/>
      <c r="QN23" s="179"/>
      <c r="QO23" s="179"/>
      <c r="QP23" s="179"/>
      <c r="QQ23" s="179"/>
      <c r="QR23" s="179"/>
      <c r="QS23" s="179"/>
      <c r="QT23" s="179"/>
      <c r="QU23" s="179"/>
      <c r="QV23" s="179"/>
      <c r="QW23" s="179"/>
      <c r="QX23" s="179"/>
      <c r="QY23" s="179"/>
      <c r="QZ23" s="179"/>
      <c r="RA23" s="179"/>
      <c r="RB23" s="179"/>
      <c r="RC23" s="179"/>
      <c r="RD23" s="179"/>
      <c r="RE23" s="179"/>
      <c r="RF23" s="179"/>
      <c r="RG23" s="179"/>
      <c r="RH23" s="179"/>
      <c r="RI23" s="179"/>
      <c r="RJ23" s="179"/>
      <c r="RK23" s="179"/>
      <c r="RL23" s="179"/>
      <c r="ICU23" s="150" t="s">
        <v>176</v>
      </c>
      <c r="ICV23" s="186"/>
      <c r="ICW23" s="179"/>
      <c r="ICX23" s="179"/>
      <c r="ICY23" s="179"/>
      <c r="ICZ23" s="179"/>
      <c r="IDA23" s="179"/>
      <c r="IDB23" s="179"/>
      <c r="IDC23" s="179"/>
      <c r="IDD23" s="179"/>
      <c r="IDE23" s="179"/>
      <c r="IDF23" s="179"/>
      <c r="IDG23" s="179"/>
      <c r="IDH23" s="179"/>
      <c r="IDI23" s="179"/>
      <c r="IDJ23" s="179"/>
      <c r="IDK23" s="179"/>
      <c r="IDL23" s="179"/>
      <c r="IDM23" s="179"/>
      <c r="IDN23" s="179"/>
      <c r="IDO23" s="179"/>
      <c r="IDP23" s="179"/>
      <c r="IDQ23" s="179"/>
      <c r="IDR23" s="179"/>
      <c r="IDS23" s="179"/>
      <c r="IDT23" s="179"/>
      <c r="IDU23" s="179"/>
      <c r="IDV23" s="179"/>
      <c r="IDW23" s="179"/>
      <c r="IDX23" s="179"/>
      <c r="IDY23" s="179"/>
      <c r="IDZ23" s="179"/>
      <c r="IEA23" s="179"/>
      <c r="IEB23" s="179"/>
      <c r="IEC23" s="179"/>
      <c r="IED23" s="179"/>
      <c r="IEE23" s="179"/>
      <c r="IEF23" s="179"/>
      <c r="IEG23" s="179"/>
      <c r="IEH23" s="179"/>
      <c r="IEI23" s="179"/>
      <c r="IEJ23" s="179"/>
      <c r="IEK23" s="179"/>
      <c r="IEL23" s="179"/>
      <c r="IEM23" s="179"/>
      <c r="IEN23" s="179"/>
      <c r="IEO23" s="179"/>
      <c r="IEP23" s="179"/>
      <c r="IEQ23" s="179"/>
      <c r="IER23" s="179"/>
      <c r="IES23" s="179"/>
      <c r="IET23" s="179"/>
      <c r="IEU23" s="179"/>
      <c r="IEV23" s="179"/>
      <c r="IEW23" s="179"/>
      <c r="IEX23" s="179"/>
      <c r="IEY23" s="179"/>
      <c r="IEZ23" s="179"/>
      <c r="IFA23" s="179"/>
      <c r="IFB23" s="179"/>
      <c r="IFC23" s="179"/>
      <c r="IFD23" s="179"/>
      <c r="IFE23" s="179"/>
      <c r="IFF23" s="179"/>
      <c r="IFG23" s="179"/>
      <c r="IFH23" s="179"/>
      <c r="IFI23" s="179"/>
      <c r="IFJ23" s="179"/>
      <c r="IFK23" s="179"/>
      <c r="IFL23" s="179"/>
      <c r="IFM23" s="179"/>
      <c r="IFN23" s="179"/>
      <c r="IFO23" s="179"/>
      <c r="IFP23" s="179"/>
      <c r="IFQ23" s="179"/>
      <c r="IFR23" s="179"/>
      <c r="IFS23" s="179"/>
      <c r="IFT23" s="179"/>
      <c r="IFU23" s="179"/>
      <c r="IFV23" s="179"/>
      <c r="IFW23" s="179"/>
      <c r="IFX23" s="179"/>
      <c r="IFY23" s="179"/>
      <c r="IFZ23" s="179"/>
      <c r="IGA23" s="179"/>
      <c r="IGB23" s="179"/>
      <c r="IGC23" s="179"/>
      <c r="IGD23" s="179"/>
      <c r="IGE23" s="179"/>
      <c r="IGF23" s="179"/>
      <c r="IGG23" s="179"/>
      <c r="IGH23" s="179"/>
      <c r="IGI23" s="179"/>
      <c r="IGJ23" s="179"/>
      <c r="IGK23" s="179"/>
      <c r="IGL23" s="179"/>
      <c r="IGM23" s="179"/>
      <c r="IGN23" s="179"/>
      <c r="IGO23" s="179"/>
      <c r="IGP23" s="179"/>
      <c r="IGQ23" s="179"/>
      <c r="IGR23" s="179"/>
      <c r="IGS23" s="179"/>
      <c r="IGT23" s="179"/>
      <c r="IGU23" s="179"/>
      <c r="IGV23" s="179"/>
      <c r="IGW23" s="179"/>
      <c r="IGX23" s="179"/>
      <c r="IGY23" s="179"/>
      <c r="IGZ23" s="179"/>
      <c r="IHA23" s="179"/>
      <c r="IHB23" s="179"/>
      <c r="IHC23" s="179"/>
      <c r="IHD23" s="179"/>
      <c r="IHE23" s="179"/>
      <c r="IHF23" s="179"/>
      <c r="IHG23" s="179"/>
      <c r="IHH23" s="179"/>
      <c r="IHI23" s="179"/>
      <c r="IHJ23" s="179"/>
      <c r="IHK23" s="179"/>
      <c r="IHL23" s="179"/>
      <c r="IHM23" s="179"/>
      <c r="IHN23" s="179"/>
      <c r="IHO23" s="179"/>
      <c r="IHP23" s="179"/>
      <c r="IHQ23" s="179"/>
      <c r="IHR23" s="179"/>
      <c r="IHS23" s="179"/>
      <c r="IHT23" s="179"/>
      <c r="IHU23" s="179"/>
      <c r="IHV23" s="179"/>
      <c r="IHW23" s="179"/>
      <c r="IHX23" s="179"/>
      <c r="IHY23" s="179"/>
      <c r="IHZ23" s="179"/>
      <c r="IIA23" s="179"/>
      <c r="IIB23" s="179"/>
      <c r="IIC23" s="179"/>
      <c r="IID23" s="179"/>
      <c r="IIE23" s="179"/>
      <c r="IIF23" s="179"/>
      <c r="IIG23" s="179"/>
      <c r="IIH23" s="179"/>
      <c r="III23" s="179"/>
      <c r="IIJ23" s="179"/>
      <c r="IIK23" s="179"/>
      <c r="IIL23" s="179"/>
      <c r="IIM23" s="179"/>
      <c r="IIN23" s="179"/>
      <c r="IIO23" s="179"/>
      <c r="IIP23" s="179"/>
      <c r="IIQ23" s="179"/>
      <c r="IIR23" s="179"/>
      <c r="IIS23" s="179"/>
      <c r="IIT23" s="179"/>
      <c r="IIU23" s="179"/>
      <c r="IIV23" s="179"/>
      <c r="IIW23" s="179"/>
      <c r="IIX23" s="179"/>
      <c r="IIY23" s="179"/>
      <c r="IIZ23" s="179"/>
      <c r="IJA23" s="179"/>
      <c r="IJB23" s="179"/>
      <c r="IJC23" s="179"/>
      <c r="IJD23" s="179"/>
      <c r="IJE23" s="179"/>
      <c r="IJF23" s="179"/>
      <c r="IJG23" s="179"/>
      <c r="IJH23" s="179"/>
      <c r="IJI23" s="179"/>
      <c r="IJJ23" s="179"/>
      <c r="IJK23" s="179"/>
      <c r="IJL23" s="179"/>
      <c r="IJM23" s="179"/>
      <c r="IJN23" s="179"/>
      <c r="IJO23" s="179"/>
      <c r="IJP23" s="179"/>
      <c r="IJQ23" s="179"/>
      <c r="IJR23" s="179"/>
      <c r="IJS23" s="179"/>
      <c r="IJT23" s="179"/>
      <c r="IJU23" s="179"/>
      <c r="IJV23" s="179"/>
      <c r="IJW23" s="179"/>
      <c r="IJX23" s="179"/>
      <c r="IJY23" s="179"/>
      <c r="IJZ23" s="179"/>
      <c r="IKA23" s="179"/>
      <c r="IKB23" s="179"/>
      <c r="IKC23" s="179"/>
      <c r="IKD23" s="179"/>
      <c r="IKE23" s="179"/>
      <c r="IKF23" s="179"/>
      <c r="IKG23" s="179"/>
      <c r="IKH23" s="179"/>
      <c r="IKI23" s="179"/>
      <c r="IKJ23" s="179"/>
      <c r="IKK23" s="179"/>
      <c r="IKL23" s="179"/>
      <c r="IKM23" s="179"/>
      <c r="IKN23" s="179"/>
      <c r="IKO23" s="179"/>
      <c r="IKP23" s="179"/>
      <c r="IKQ23" s="179"/>
      <c r="IKR23" s="179"/>
      <c r="IKS23" s="179"/>
      <c r="IKT23" s="179"/>
      <c r="IKU23" s="179"/>
      <c r="IKV23" s="179"/>
      <c r="IKW23" s="179"/>
      <c r="IKX23" s="179"/>
      <c r="IKY23" s="179"/>
      <c r="IKZ23" s="179"/>
      <c r="ILA23" s="179"/>
      <c r="ILB23" s="179"/>
      <c r="ILC23" s="179"/>
      <c r="ILD23" s="179"/>
      <c r="ILE23" s="179"/>
      <c r="ILF23" s="179"/>
      <c r="ILG23" s="179"/>
      <c r="ILH23" s="179"/>
      <c r="ILI23" s="179"/>
      <c r="ILJ23" s="179"/>
      <c r="ILK23" s="179"/>
      <c r="ILL23" s="179"/>
      <c r="ILM23" s="179"/>
      <c r="ILN23" s="179"/>
      <c r="ILO23" s="179"/>
      <c r="ILP23" s="179"/>
      <c r="ILQ23" s="179"/>
      <c r="ILR23" s="179"/>
      <c r="ILS23" s="179"/>
      <c r="ILT23" s="179"/>
      <c r="ILU23" s="179"/>
      <c r="ILV23" s="179"/>
      <c r="ILW23" s="179"/>
      <c r="ILX23" s="179"/>
      <c r="ILY23" s="179"/>
      <c r="ILZ23" s="179"/>
      <c r="IMA23" s="179"/>
      <c r="IMB23" s="179"/>
      <c r="IMC23" s="179"/>
      <c r="IMD23" s="179"/>
      <c r="IME23" s="179"/>
      <c r="IMF23" s="179"/>
      <c r="IMG23" s="179"/>
      <c r="IMH23" s="179"/>
      <c r="IMI23" s="179"/>
      <c r="IMJ23" s="179"/>
      <c r="IMK23" s="179"/>
      <c r="IML23" s="179"/>
      <c r="IMM23" s="179"/>
      <c r="IMN23" s="179"/>
      <c r="IMO23" s="179"/>
      <c r="IMP23" s="179"/>
      <c r="IMQ23" s="179"/>
      <c r="IMR23" s="179"/>
      <c r="IMS23" s="179"/>
      <c r="IMT23" s="179"/>
      <c r="IMU23" s="179"/>
      <c r="IMV23" s="179"/>
      <c r="IMW23" s="179"/>
      <c r="IMX23" s="179"/>
      <c r="IMY23" s="179"/>
      <c r="IMZ23" s="179"/>
      <c r="INA23" s="179"/>
      <c r="INB23" s="179"/>
      <c r="INC23" s="179"/>
      <c r="IND23" s="179"/>
      <c r="INE23" s="179"/>
      <c r="INF23" s="179"/>
      <c r="ING23" s="179"/>
      <c r="INH23" s="179"/>
      <c r="INI23" s="179"/>
      <c r="INJ23" s="179"/>
      <c r="INK23" s="179"/>
      <c r="INL23" s="179"/>
      <c r="INM23" s="179"/>
      <c r="INN23" s="179"/>
      <c r="INO23" s="179"/>
      <c r="INP23" s="179"/>
      <c r="INQ23" s="179"/>
      <c r="INR23" s="179"/>
      <c r="INS23" s="179"/>
      <c r="INT23" s="179"/>
      <c r="INU23" s="179"/>
      <c r="INV23" s="179"/>
      <c r="INW23" s="179"/>
      <c r="INX23" s="179"/>
      <c r="INY23" s="179"/>
      <c r="INZ23" s="179"/>
      <c r="IOA23" s="179"/>
      <c r="IOB23" s="179"/>
      <c r="IOC23" s="179"/>
      <c r="IOD23" s="179"/>
      <c r="IOE23" s="179"/>
      <c r="IOF23" s="179"/>
      <c r="IOG23" s="179"/>
      <c r="IOH23" s="179"/>
      <c r="IOI23" s="179"/>
      <c r="IOJ23" s="179"/>
      <c r="IOK23" s="179"/>
      <c r="IOL23" s="179"/>
      <c r="IOM23" s="179"/>
      <c r="ION23" s="179"/>
      <c r="IOO23" s="179"/>
      <c r="IOP23" s="179"/>
      <c r="IOQ23" s="179"/>
      <c r="IOR23" s="179"/>
      <c r="IOS23" s="179"/>
      <c r="IOT23" s="179"/>
      <c r="IOU23" s="179"/>
      <c r="IOV23" s="179"/>
      <c r="IOW23" s="179"/>
      <c r="IOX23" s="179"/>
      <c r="IOY23" s="179"/>
      <c r="IOZ23" s="179"/>
      <c r="IPA23" s="179"/>
      <c r="IPB23" s="179"/>
      <c r="IPC23" s="179"/>
      <c r="IPD23" s="179"/>
      <c r="IPE23" s="179"/>
      <c r="IPF23" s="179"/>
      <c r="IPG23" s="179"/>
      <c r="IPH23" s="179"/>
      <c r="IPI23" s="179"/>
      <c r="IPJ23" s="179"/>
      <c r="IPK23" s="179"/>
      <c r="IPL23" s="179"/>
      <c r="IPM23" s="179"/>
      <c r="IPN23" s="179"/>
      <c r="IPO23" s="179"/>
      <c r="IPP23" s="179"/>
      <c r="IPQ23" s="179"/>
      <c r="IPR23" s="179"/>
      <c r="IPS23" s="179"/>
      <c r="IPT23" s="179"/>
      <c r="IPU23" s="179"/>
      <c r="IPV23" s="179"/>
      <c r="IPW23" s="179"/>
      <c r="IPX23" s="179"/>
      <c r="IPY23" s="179"/>
      <c r="IPZ23" s="179"/>
      <c r="IQA23" s="179"/>
      <c r="IQB23" s="179"/>
      <c r="IQC23" s="179"/>
      <c r="IQD23" s="179"/>
      <c r="IQE23" s="179"/>
      <c r="IQF23" s="179"/>
      <c r="IQG23" s="179"/>
      <c r="IQH23" s="179"/>
      <c r="IQI23" s="179"/>
      <c r="IQJ23" s="179"/>
      <c r="IQK23" s="179"/>
      <c r="IQL23" s="179"/>
      <c r="IQM23" s="179"/>
      <c r="IQN23" s="179"/>
      <c r="IQO23" s="179"/>
      <c r="IQP23" s="179"/>
      <c r="IQQ23" s="179"/>
      <c r="IQR23" s="179"/>
      <c r="IQS23" s="179"/>
      <c r="IQT23" s="179"/>
      <c r="IQU23" s="179"/>
      <c r="IQV23" s="179"/>
      <c r="IQW23" s="179"/>
      <c r="IQX23" s="179"/>
      <c r="IQY23" s="179"/>
      <c r="IQZ23" s="179"/>
      <c r="IRA23" s="179"/>
      <c r="IRB23" s="179"/>
      <c r="IRC23" s="179"/>
      <c r="IRD23" s="179"/>
      <c r="IRE23" s="179"/>
      <c r="IRF23" s="179"/>
      <c r="IRG23" s="179"/>
      <c r="IRH23" s="179"/>
      <c r="IRI23" s="179"/>
      <c r="IRJ23" s="179"/>
      <c r="IRK23" s="179"/>
      <c r="IRL23" s="179"/>
      <c r="IRM23" s="179"/>
      <c r="IRN23" s="179"/>
      <c r="IRO23" s="179"/>
      <c r="IRP23" s="179"/>
      <c r="IRQ23" s="179"/>
      <c r="IRR23" s="179"/>
      <c r="IRS23" s="179"/>
      <c r="IRT23" s="179"/>
      <c r="IRU23" s="179"/>
      <c r="IRV23" s="179"/>
      <c r="IRW23" s="179"/>
      <c r="IRX23" s="179"/>
      <c r="IRY23" s="179"/>
      <c r="IRZ23" s="179"/>
      <c r="ISA23" s="179"/>
      <c r="ISB23" s="179"/>
      <c r="ISC23" s="179"/>
      <c r="ISD23" s="179"/>
      <c r="ISE23" s="179"/>
      <c r="ISF23" s="179"/>
      <c r="ISG23" s="179"/>
      <c r="ISH23" s="179"/>
      <c r="ISI23" s="179"/>
      <c r="ISJ23" s="179"/>
      <c r="ISK23" s="179"/>
      <c r="ISL23" s="179"/>
      <c r="ISM23" s="179"/>
      <c r="ISN23" s="179"/>
      <c r="ISO23" s="179"/>
      <c r="ISP23" s="179"/>
      <c r="ISQ23" s="179"/>
      <c r="ISR23" s="179"/>
      <c r="ISS23" s="179"/>
      <c r="IST23" s="179"/>
      <c r="ISU23" s="179"/>
      <c r="ISV23" s="179"/>
      <c r="ISW23" s="179"/>
      <c r="ISX23" s="179"/>
      <c r="ISY23" s="179"/>
      <c r="ISZ23" s="179"/>
      <c r="ITA23" s="179"/>
      <c r="ITB23" s="179"/>
      <c r="ITC23" s="179"/>
      <c r="ITD23" s="179"/>
      <c r="ITE23" s="179"/>
      <c r="ITF23" s="179"/>
      <c r="ITG23" s="179"/>
      <c r="ITH23" s="179"/>
      <c r="ITI23" s="179"/>
      <c r="ITJ23" s="179"/>
      <c r="ITK23" s="179"/>
      <c r="ITL23" s="179"/>
      <c r="ITM23" s="179"/>
      <c r="ITN23" s="179"/>
      <c r="ITO23" s="179"/>
      <c r="ITP23" s="179"/>
      <c r="ITQ23" s="179"/>
      <c r="ITR23" s="179"/>
      <c r="ITS23" s="179"/>
      <c r="ITT23" s="179"/>
      <c r="ITU23" s="179"/>
      <c r="ITV23" s="179"/>
      <c r="ITW23" s="179"/>
      <c r="ITX23" s="179"/>
      <c r="ITY23" s="179"/>
      <c r="ITZ23" s="179"/>
      <c r="IUA23" s="179"/>
      <c r="IUB23" s="179"/>
      <c r="IUC23" s="179"/>
      <c r="IUD23" s="179"/>
      <c r="IUE23" s="179"/>
      <c r="IUF23" s="179"/>
      <c r="IUG23" s="179"/>
      <c r="IUH23" s="179"/>
      <c r="IUI23" s="179"/>
      <c r="IUJ23" s="179"/>
      <c r="IUK23" s="179"/>
      <c r="IUL23" s="179"/>
      <c r="IUM23" s="179"/>
      <c r="IUN23" s="179"/>
      <c r="IUO23" s="179"/>
      <c r="IUP23" s="179"/>
      <c r="IUQ23" s="179"/>
      <c r="IUR23" s="179"/>
      <c r="IUS23" s="179"/>
      <c r="IUT23" s="179"/>
    </row>
    <row r="24" spans="1:16381" s="125" customFormat="1" ht="19.5" customHeight="1">
      <c r="C24" s="143"/>
      <c r="D24" s="57" t="s">
        <v>177</v>
      </c>
      <c r="E24" s="70" t="s">
        <v>145</v>
      </c>
      <c r="F24" s="58" t="s">
        <v>146</v>
      </c>
      <c r="G24" s="58" t="s">
        <v>147</v>
      </c>
      <c r="H24" s="59">
        <f>SUM(H25:H30)-COUNTIF(I25:I30,"False")*5</f>
        <v>20</v>
      </c>
      <c r="I24" s="59">
        <f>SUM(I25:I30)</f>
        <v>0</v>
      </c>
      <c r="J24" s="60">
        <f>IF(I24=0,(0),SUM(J25:J30))</f>
        <v>0</v>
      </c>
      <c r="K24" s="161"/>
      <c r="M24" s="145">
        <f>SUM(M25:M30)-COUNTIF(N25:N30,"False")*5</f>
        <v>20</v>
      </c>
      <c r="BR24" s="179"/>
      <c r="BS24" s="179"/>
      <c r="BT24" s="179"/>
      <c r="BU24" s="179"/>
      <c r="BV24" s="179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79"/>
      <c r="DC24" s="179"/>
      <c r="DD24" s="179"/>
      <c r="DE24" s="179"/>
      <c r="DF24" s="179"/>
      <c r="DG24" s="179"/>
      <c r="DH24" s="179"/>
      <c r="DI24" s="179"/>
      <c r="DJ24" s="179"/>
      <c r="DK24" s="179"/>
      <c r="DL24" s="179"/>
      <c r="DM24" s="179"/>
      <c r="DN24" s="179"/>
      <c r="DO24" s="179"/>
      <c r="DP24" s="179"/>
      <c r="DQ24" s="179"/>
      <c r="DR24" s="179"/>
      <c r="DS24" s="179"/>
      <c r="DT24" s="179"/>
      <c r="DU24" s="179"/>
      <c r="DV24" s="179"/>
      <c r="DW24" s="179"/>
      <c r="DX24" s="179"/>
      <c r="DY24" s="179"/>
      <c r="DZ24" s="179"/>
      <c r="EA24" s="179"/>
      <c r="EB24" s="179"/>
      <c r="EC24" s="179"/>
      <c r="ED24" s="179"/>
      <c r="EE24" s="179"/>
      <c r="EF24" s="179"/>
      <c r="EG24" s="179"/>
      <c r="EH24" s="179"/>
      <c r="EI24" s="179"/>
      <c r="EJ24" s="179"/>
      <c r="EK24" s="179"/>
      <c r="EL24" s="179"/>
      <c r="EM24" s="179"/>
      <c r="EN24" s="179"/>
      <c r="EO24" s="179"/>
      <c r="EP24" s="179"/>
      <c r="EQ24" s="179"/>
      <c r="ER24" s="179"/>
      <c r="ES24" s="179"/>
      <c r="ET24" s="179"/>
      <c r="EU24" s="179"/>
      <c r="EV24" s="179"/>
      <c r="EW24" s="179"/>
      <c r="EX24" s="179"/>
      <c r="EY24" s="179"/>
      <c r="EZ24" s="179"/>
      <c r="FA24" s="179"/>
      <c r="FB24" s="179"/>
      <c r="FC24" s="179"/>
      <c r="FD24" s="179"/>
      <c r="FE24" s="179"/>
      <c r="FF24" s="179"/>
      <c r="FG24" s="179"/>
      <c r="FH24" s="179"/>
      <c r="FI24" s="179"/>
      <c r="FJ24" s="179"/>
      <c r="FK24" s="179"/>
      <c r="FL24" s="179"/>
      <c r="FM24" s="179"/>
      <c r="FN24" s="179"/>
      <c r="FO24" s="179"/>
      <c r="FP24" s="179"/>
      <c r="FQ24" s="179"/>
      <c r="FR24" s="179"/>
      <c r="FS24" s="179"/>
      <c r="FT24" s="179"/>
      <c r="FU24" s="179"/>
      <c r="FV24" s="179"/>
      <c r="FW24" s="179"/>
      <c r="FX24" s="179"/>
      <c r="FY24" s="179"/>
      <c r="FZ24" s="179"/>
      <c r="GA24" s="179"/>
      <c r="GB24" s="179"/>
      <c r="GC24" s="179"/>
      <c r="GD24" s="179"/>
      <c r="GE24" s="179"/>
      <c r="GF24" s="179"/>
      <c r="GG24" s="179"/>
      <c r="GH24" s="179"/>
      <c r="GI24" s="179"/>
      <c r="GJ24" s="179"/>
      <c r="GK24" s="179"/>
      <c r="GL24" s="179"/>
      <c r="GM24" s="179"/>
      <c r="GN24" s="179"/>
      <c r="GO24" s="179"/>
      <c r="GP24" s="179"/>
      <c r="GQ24" s="179"/>
      <c r="GR24" s="179"/>
      <c r="GS24" s="179"/>
      <c r="GT24" s="179"/>
      <c r="GU24" s="179"/>
      <c r="GV24" s="179"/>
      <c r="GW24" s="179"/>
      <c r="GX24" s="179"/>
      <c r="GY24" s="179"/>
      <c r="GZ24" s="179"/>
      <c r="HA24" s="179"/>
      <c r="HB24" s="179"/>
      <c r="HC24" s="179"/>
      <c r="HD24" s="179"/>
      <c r="HE24" s="179"/>
      <c r="HF24" s="179"/>
      <c r="HG24" s="179"/>
      <c r="HH24" s="179"/>
      <c r="HI24" s="179"/>
      <c r="HJ24" s="179"/>
      <c r="HK24" s="179"/>
      <c r="HL24" s="179"/>
      <c r="HM24" s="179"/>
      <c r="HN24" s="179"/>
      <c r="HO24" s="179"/>
      <c r="HP24" s="179"/>
      <c r="HQ24" s="179"/>
      <c r="HR24" s="179"/>
      <c r="HS24" s="179"/>
      <c r="HT24" s="179"/>
      <c r="HU24" s="179"/>
      <c r="HV24" s="179"/>
      <c r="HW24" s="179"/>
      <c r="HX24" s="179"/>
      <c r="HY24" s="179"/>
      <c r="HZ24" s="179"/>
      <c r="IA24" s="179"/>
      <c r="IB24" s="179"/>
      <c r="IC24" s="179"/>
      <c r="ID24" s="179"/>
      <c r="IE24" s="179"/>
      <c r="IF24" s="179"/>
      <c r="IG24" s="179"/>
      <c r="IH24" s="179"/>
      <c r="II24" s="179"/>
      <c r="IJ24" s="179"/>
      <c r="IK24" s="179"/>
      <c r="IL24" s="179"/>
      <c r="IM24" s="179"/>
      <c r="IN24" s="179"/>
      <c r="IO24" s="179"/>
      <c r="IP24" s="179"/>
      <c r="IQ24" s="179"/>
      <c r="IR24" s="179"/>
      <c r="IS24" s="179"/>
      <c r="IT24" s="179"/>
      <c r="IU24" s="179"/>
      <c r="IV24" s="179"/>
      <c r="IW24" s="179"/>
      <c r="IX24" s="179"/>
      <c r="IY24" s="179"/>
      <c r="IZ24" s="179"/>
      <c r="JA24" s="179"/>
      <c r="JB24" s="179"/>
      <c r="JC24" s="179"/>
      <c r="JD24" s="179"/>
      <c r="JE24" s="179"/>
      <c r="JF24" s="179"/>
      <c r="JG24" s="179"/>
      <c r="JH24" s="179"/>
      <c r="JI24" s="179"/>
      <c r="JJ24" s="179"/>
      <c r="JK24" s="179"/>
      <c r="JL24" s="179"/>
      <c r="JM24" s="179"/>
      <c r="JN24" s="179"/>
      <c r="JO24" s="179"/>
      <c r="JP24" s="179"/>
      <c r="JQ24" s="179"/>
      <c r="JR24" s="179"/>
      <c r="JS24" s="179"/>
      <c r="JT24" s="179"/>
      <c r="JU24" s="179"/>
      <c r="JV24" s="179"/>
      <c r="JW24" s="179"/>
      <c r="JX24" s="179"/>
      <c r="JY24" s="179"/>
      <c r="JZ24" s="179"/>
      <c r="KA24" s="179"/>
      <c r="KB24" s="179"/>
      <c r="KC24" s="179"/>
      <c r="KD24" s="179"/>
      <c r="KE24" s="179"/>
      <c r="KF24" s="179"/>
      <c r="KG24" s="179"/>
      <c r="KH24" s="179"/>
      <c r="KI24" s="179"/>
      <c r="KJ24" s="179"/>
      <c r="KK24" s="179"/>
      <c r="KL24" s="179"/>
      <c r="KM24" s="179"/>
      <c r="KN24" s="179"/>
      <c r="KO24" s="179"/>
      <c r="KP24" s="179"/>
      <c r="KQ24" s="179"/>
      <c r="KR24" s="179"/>
      <c r="KS24" s="179"/>
      <c r="KT24" s="179"/>
      <c r="KU24" s="179"/>
      <c r="KV24" s="179"/>
      <c r="KW24" s="179"/>
      <c r="KX24" s="179"/>
      <c r="KY24" s="179"/>
      <c r="KZ24" s="179"/>
      <c r="LA24" s="179"/>
      <c r="LB24" s="179"/>
      <c r="LC24" s="179"/>
      <c r="LD24" s="179"/>
      <c r="LE24" s="179"/>
      <c r="LF24" s="179"/>
      <c r="LG24" s="179"/>
      <c r="LH24" s="179"/>
      <c r="LI24" s="179"/>
      <c r="LJ24" s="179"/>
      <c r="LK24" s="179"/>
      <c r="LL24" s="179"/>
      <c r="LM24" s="179"/>
      <c r="LN24" s="179"/>
      <c r="LO24" s="179"/>
      <c r="LP24" s="179"/>
      <c r="LQ24" s="179"/>
      <c r="LR24" s="179"/>
      <c r="LS24" s="179"/>
      <c r="LT24" s="179"/>
      <c r="LU24" s="179"/>
      <c r="LV24" s="179"/>
      <c r="LW24" s="179"/>
      <c r="LX24" s="179"/>
      <c r="LY24" s="179"/>
      <c r="LZ24" s="179"/>
      <c r="MA24" s="179"/>
      <c r="MB24" s="179"/>
      <c r="MC24" s="179"/>
      <c r="MD24" s="179"/>
      <c r="ME24" s="179"/>
      <c r="MF24" s="179"/>
      <c r="MG24" s="179"/>
      <c r="MH24" s="179"/>
      <c r="MI24" s="179"/>
      <c r="MJ24" s="179"/>
      <c r="MK24" s="179"/>
      <c r="ML24" s="179"/>
      <c r="MM24" s="179"/>
      <c r="MN24" s="179"/>
      <c r="MO24" s="179"/>
      <c r="MP24" s="179"/>
      <c r="MQ24" s="179"/>
      <c r="MR24" s="179"/>
      <c r="MS24" s="179"/>
      <c r="MT24" s="179"/>
      <c r="MU24" s="179"/>
      <c r="MV24" s="179"/>
      <c r="MW24" s="179"/>
      <c r="MX24" s="179"/>
      <c r="MY24" s="179"/>
      <c r="MZ24" s="179"/>
      <c r="NA24" s="179"/>
      <c r="NB24" s="179"/>
      <c r="NC24" s="179"/>
      <c r="ND24" s="179"/>
      <c r="NE24" s="179"/>
      <c r="NF24" s="179"/>
      <c r="NG24" s="179"/>
      <c r="NH24" s="179"/>
      <c r="NI24" s="179"/>
      <c r="NJ24" s="179"/>
      <c r="NK24" s="179"/>
      <c r="NL24" s="179"/>
      <c r="NM24" s="179"/>
      <c r="NN24" s="179"/>
      <c r="NO24" s="179"/>
      <c r="NP24" s="179"/>
      <c r="NQ24" s="179"/>
      <c r="NR24" s="179"/>
      <c r="NS24" s="179"/>
      <c r="NT24" s="179"/>
      <c r="NU24" s="179"/>
      <c r="NV24" s="179"/>
      <c r="NW24" s="179"/>
      <c r="NX24" s="179"/>
      <c r="NY24" s="179"/>
      <c r="NZ24" s="179"/>
      <c r="OA24" s="179"/>
      <c r="OB24" s="179"/>
      <c r="OC24" s="179"/>
      <c r="OD24" s="179"/>
      <c r="OE24" s="179"/>
      <c r="OF24" s="179"/>
      <c r="OG24" s="179"/>
      <c r="OH24" s="179"/>
      <c r="OI24" s="179"/>
      <c r="OJ24" s="179"/>
      <c r="OK24" s="179"/>
      <c r="OL24" s="179"/>
      <c r="OM24" s="179"/>
      <c r="ON24" s="179"/>
      <c r="OO24" s="179"/>
      <c r="OP24" s="179"/>
      <c r="OQ24" s="179"/>
      <c r="OR24" s="179"/>
      <c r="OS24" s="179"/>
      <c r="OT24" s="179"/>
      <c r="OU24" s="179"/>
      <c r="OV24" s="179"/>
      <c r="OW24" s="179"/>
      <c r="OX24" s="179"/>
      <c r="OY24" s="179"/>
      <c r="OZ24" s="179"/>
      <c r="PA24" s="179"/>
      <c r="PB24" s="179"/>
      <c r="PC24" s="179"/>
      <c r="PD24" s="179"/>
      <c r="PE24" s="179"/>
      <c r="PF24" s="179"/>
      <c r="PG24" s="179"/>
      <c r="PH24" s="179"/>
      <c r="PI24" s="179"/>
      <c r="PJ24" s="179"/>
      <c r="PK24" s="179"/>
      <c r="PL24" s="179"/>
      <c r="PM24" s="179"/>
      <c r="PN24" s="179"/>
      <c r="PO24" s="179"/>
      <c r="PP24" s="179"/>
      <c r="PQ24" s="179"/>
      <c r="PR24" s="179"/>
      <c r="PS24" s="179"/>
      <c r="PT24" s="179"/>
      <c r="PU24" s="179"/>
      <c r="PV24" s="179"/>
      <c r="PW24" s="179"/>
      <c r="PX24" s="179"/>
      <c r="PY24" s="179"/>
      <c r="PZ24" s="179"/>
      <c r="QA24" s="179"/>
      <c r="QB24" s="179"/>
      <c r="QC24" s="179"/>
      <c r="QD24" s="179"/>
      <c r="QE24" s="179"/>
      <c r="QF24" s="179"/>
      <c r="QG24" s="179"/>
      <c r="QH24" s="179"/>
      <c r="QI24" s="179"/>
      <c r="QJ24" s="179"/>
      <c r="QK24" s="179"/>
      <c r="QL24" s="179"/>
      <c r="QM24" s="179"/>
      <c r="QN24" s="179"/>
      <c r="QO24" s="179"/>
      <c r="QP24" s="179"/>
      <c r="QQ24" s="179"/>
      <c r="QR24" s="179"/>
      <c r="QS24" s="179"/>
      <c r="QT24" s="179"/>
      <c r="QU24" s="179"/>
      <c r="QV24" s="179"/>
      <c r="QW24" s="179"/>
      <c r="QX24" s="179"/>
      <c r="QY24" s="179"/>
      <c r="QZ24" s="179"/>
      <c r="RA24" s="179"/>
      <c r="RB24" s="179"/>
      <c r="RC24" s="179"/>
      <c r="RD24" s="179"/>
      <c r="RE24" s="179"/>
      <c r="RF24" s="179"/>
      <c r="RG24" s="179"/>
      <c r="RH24" s="179"/>
      <c r="RI24" s="179"/>
      <c r="RJ24" s="179"/>
      <c r="RK24" s="179"/>
      <c r="RL24" s="179"/>
      <c r="ICU24" s="162"/>
      <c r="ICV24" s="186"/>
      <c r="ICW24" s="179"/>
      <c r="ICX24" s="179"/>
      <c r="ICY24" s="179"/>
      <c r="ICZ24" s="179"/>
      <c r="IDA24" s="179"/>
      <c r="IDB24" s="179"/>
      <c r="IDC24" s="179"/>
      <c r="IDD24" s="179"/>
      <c r="IDE24" s="179"/>
      <c r="IDF24" s="179"/>
      <c r="IDG24" s="179"/>
      <c r="IDH24" s="179"/>
      <c r="IDI24" s="179"/>
      <c r="IDJ24" s="179"/>
      <c r="IDK24" s="179"/>
      <c r="IDL24" s="179"/>
      <c r="IDM24" s="179"/>
      <c r="IDN24" s="179"/>
      <c r="IDO24" s="179"/>
      <c r="IDP24" s="179"/>
      <c r="IDQ24" s="179"/>
      <c r="IDR24" s="179"/>
      <c r="IDS24" s="179"/>
      <c r="IDT24" s="179"/>
      <c r="IDU24" s="179"/>
      <c r="IDV24" s="179"/>
      <c r="IDW24" s="179"/>
      <c r="IDX24" s="179"/>
      <c r="IDY24" s="179"/>
      <c r="IDZ24" s="179"/>
      <c r="IEA24" s="179"/>
      <c r="IEB24" s="179"/>
      <c r="IEC24" s="179"/>
      <c r="IED24" s="179"/>
      <c r="IEE24" s="179"/>
      <c r="IEF24" s="179"/>
      <c r="IEG24" s="179"/>
      <c r="IEH24" s="179"/>
      <c r="IEI24" s="179"/>
      <c r="IEJ24" s="179"/>
      <c r="IEK24" s="179"/>
      <c r="IEL24" s="179"/>
      <c r="IEM24" s="179"/>
      <c r="IEN24" s="179"/>
      <c r="IEO24" s="179"/>
      <c r="IEP24" s="179"/>
      <c r="IEQ24" s="179"/>
      <c r="IER24" s="179"/>
      <c r="IES24" s="179"/>
      <c r="IET24" s="179"/>
      <c r="IEU24" s="179"/>
      <c r="IEV24" s="179"/>
      <c r="IEW24" s="179"/>
      <c r="IEX24" s="179"/>
      <c r="IEY24" s="179"/>
      <c r="IEZ24" s="179"/>
      <c r="IFA24" s="179"/>
      <c r="IFB24" s="179"/>
      <c r="IFC24" s="179"/>
      <c r="IFD24" s="179"/>
      <c r="IFE24" s="179"/>
      <c r="IFF24" s="179"/>
      <c r="IFG24" s="179"/>
      <c r="IFH24" s="179"/>
      <c r="IFI24" s="179"/>
      <c r="IFJ24" s="179"/>
      <c r="IFK24" s="179"/>
      <c r="IFL24" s="179"/>
      <c r="IFM24" s="179"/>
      <c r="IFN24" s="179"/>
      <c r="IFO24" s="179"/>
      <c r="IFP24" s="179"/>
      <c r="IFQ24" s="179"/>
      <c r="IFR24" s="179"/>
      <c r="IFS24" s="179"/>
      <c r="IFT24" s="179"/>
      <c r="IFU24" s="179"/>
      <c r="IFV24" s="179"/>
      <c r="IFW24" s="179"/>
      <c r="IFX24" s="179"/>
      <c r="IFY24" s="179"/>
      <c r="IFZ24" s="179"/>
      <c r="IGA24" s="179"/>
      <c r="IGB24" s="179"/>
      <c r="IGC24" s="179"/>
      <c r="IGD24" s="179"/>
      <c r="IGE24" s="179"/>
      <c r="IGF24" s="179"/>
      <c r="IGG24" s="179"/>
      <c r="IGH24" s="179"/>
      <c r="IGI24" s="179"/>
      <c r="IGJ24" s="179"/>
      <c r="IGK24" s="179"/>
      <c r="IGL24" s="179"/>
      <c r="IGM24" s="179"/>
      <c r="IGN24" s="179"/>
      <c r="IGO24" s="179"/>
      <c r="IGP24" s="179"/>
      <c r="IGQ24" s="179"/>
      <c r="IGR24" s="179"/>
      <c r="IGS24" s="179"/>
      <c r="IGT24" s="179"/>
      <c r="IGU24" s="179"/>
      <c r="IGV24" s="179"/>
      <c r="IGW24" s="179"/>
      <c r="IGX24" s="179"/>
      <c r="IGY24" s="179"/>
      <c r="IGZ24" s="179"/>
      <c r="IHA24" s="179"/>
      <c r="IHB24" s="179"/>
      <c r="IHC24" s="179"/>
      <c r="IHD24" s="179"/>
      <c r="IHE24" s="179"/>
      <c r="IHF24" s="179"/>
      <c r="IHG24" s="179"/>
      <c r="IHH24" s="179"/>
      <c r="IHI24" s="179"/>
      <c r="IHJ24" s="179"/>
      <c r="IHK24" s="179"/>
      <c r="IHL24" s="179"/>
      <c r="IHM24" s="179"/>
      <c r="IHN24" s="179"/>
      <c r="IHO24" s="179"/>
      <c r="IHP24" s="179"/>
      <c r="IHQ24" s="179"/>
      <c r="IHR24" s="179"/>
      <c r="IHS24" s="179"/>
      <c r="IHT24" s="179"/>
      <c r="IHU24" s="179"/>
      <c r="IHV24" s="179"/>
      <c r="IHW24" s="179"/>
      <c r="IHX24" s="179"/>
      <c r="IHY24" s="179"/>
      <c r="IHZ24" s="179"/>
      <c r="IIA24" s="179"/>
      <c r="IIB24" s="179"/>
      <c r="IIC24" s="179"/>
      <c r="IID24" s="179"/>
      <c r="IIE24" s="179"/>
      <c r="IIF24" s="179"/>
      <c r="IIG24" s="179"/>
      <c r="IIH24" s="179"/>
      <c r="III24" s="179"/>
      <c r="IIJ24" s="179"/>
      <c r="IIK24" s="179"/>
      <c r="IIL24" s="179"/>
      <c r="IIM24" s="179"/>
      <c r="IIN24" s="179"/>
      <c r="IIO24" s="179"/>
      <c r="IIP24" s="179"/>
      <c r="IIQ24" s="179"/>
      <c r="IIR24" s="179"/>
      <c r="IIS24" s="179"/>
      <c r="IIT24" s="179"/>
      <c r="IIU24" s="179"/>
      <c r="IIV24" s="179"/>
      <c r="IIW24" s="179"/>
      <c r="IIX24" s="179"/>
      <c r="IIY24" s="179"/>
      <c r="IIZ24" s="179"/>
      <c r="IJA24" s="179"/>
      <c r="IJB24" s="179"/>
      <c r="IJC24" s="179"/>
      <c r="IJD24" s="179"/>
      <c r="IJE24" s="179"/>
      <c r="IJF24" s="179"/>
      <c r="IJG24" s="179"/>
      <c r="IJH24" s="179"/>
      <c r="IJI24" s="179"/>
      <c r="IJJ24" s="179"/>
      <c r="IJK24" s="179"/>
      <c r="IJL24" s="179"/>
      <c r="IJM24" s="179"/>
      <c r="IJN24" s="179"/>
      <c r="IJO24" s="179"/>
      <c r="IJP24" s="179"/>
      <c r="IJQ24" s="179"/>
      <c r="IJR24" s="179"/>
      <c r="IJS24" s="179"/>
      <c r="IJT24" s="179"/>
      <c r="IJU24" s="179"/>
      <c r="IJV24" s="179"/>
      <c r="IJW24" s="179"/>
      <c r="IJX24" s="179"/>
      <c r="IJY24" s="179"/>
      <c r="IJZ24" s="179"/>
      <c r="IKA24" s="179"/>
      <c r="IKB24" s="179"/>
      <c r="IKC24" s="179"/>
      <c r="IKD24" s="179"/>
      <c r="IKE24" s="179"/>
      <c r="IKF24" s="179"/>
      <c r="IKG24" s="179"/>
      <c r="IKH24" s="179"/>
      <c r="IKI24" s="179"/>
      <c r="IKJ24" s="179"/>
      <c r="IKK24" s="179"/>
      <c r="IKL24" s="179"/>
      <c r="IKM24" s="179"/>
      <c r="IKN24" s="179"/>
      <c r="IKO24" s="179"/>
      <c r="IKP24" s="179"/>
      <c r="IKQ24" s="179"/>
      <c r="IKR24" s="179"/>
      <c r="IKS24" s="179"/>
      <c r="IKT24" s="179"/>
      <c r="IKU24" s="179"/>
      <c r="IKV24" s="179"/>
      <c r="IKW24" s="179"/>
      <c r="IKX24" s="179"/>
      <c r="IKY24" s="179"/>
      <c r="IKZ24" s="179"/>
      <c r="ILA24" s="179"/>
      <c r="ILB24" s="179"/>
      <c r="ILC24" s="179"/>
      <c r="ILD24" s="179"/>
      <c r="ILE24" s="179"/>
      <c r="ILF24" s="179"/>
      <c r="ILG24" s="179"/>
      <c r="ILH24" s="179"/>
      <c r="ILI24" s="179"/>
      <c r="ILJ24" s="179"/>
      <c r="ILK24" s="179"/>
      <c r="ILL24" s="179"/>
      <c r="ILM24" s="179"/>
      <c r="ILN24" s="179"/>
      <c r="ILO24" s="179"/>
      <c r="ILP24" s="179"/>
      <c r="ILQ24" s="179"/>
      <c r="ILR24" s="179"/>
      <c r="ILS24" s="179"/>
      <c r="ILT24" s="179"/>
      <c r="ILU24" s="179"/>
      <c r="ILV24" s="179"/>
      <c r="ILW24" s="179"/>
      <c r="ILX24" s="179"/>
      <c r="ILY24" s="179"/>
      <c r="ILZ24" s="179"/>
      <c r="IMA24" s="179"/>
      <c r="IMB24" s="179"/>
      <c r="IMC24" s="179"/>
      <c r="IMD24" s="179"/>
      <c r="IME24" s="179"/>
      <c r="IMF24" s="179"/>
      <c r="IMG24" s="179"/>
      <c r="IMH24" s="179"/>
      <c r="IMI24" s="179"/>
      <c r="IMJ24" s="179"/>
      <c r="IMK24" s="179"/>
      <c r="IML24" s="179"/>
      <c r="IMM24" s="179"/>
      <c r="IMN24" s="179"/>
      <c r="IMO24" s="179"/>
      <c r="IMP24" s="179"/>
      <c r="IMQ24" s="179"/>
      <c r="IMR24" s="179"/>
      <c r="IMS24" s="179"/>
      <c r="IMT24" s="179"/>
      <c r="IMU24" s="179"/>
      <c r="IMV24" s="179"/>
      <c r="IMW24" s="179"/>
      <c r="IMX24" s="179"/>
      <c r="IMY24" s="179"/>
      <c r="IMZ24" s="179"/>
      <c r="INA24" s="179"/>
      <c r="INB24" s="179"/>
      <c r="INC24" s="179"/>
      <c r="IND24" s="179"/>
      <c r="INE24" s="179"/>
      <c r="INF24" s="179"/>
      <c r="ING24" s="179"/>
      <c r="INH24" s="179"/>
      <c r="INI24" s="179"/>
      <c r="INJ24" s="179"/>
      <c r="INK24" s="179"/>
      <c r="INL24" s="179"/>
      <c r="INM24" s="179"/>
      <c r="INN24" s="179"/>
      <c r="INO24" s="179"/>
      <c r="INP24" s="179"/>
      <c r="INQ24" s="179"/>
      <c r="INR24" s="179"/>
      <c r="INS24" s="179"/>
      <c r="INT24" s="179"/>
      <c r="INU24" s="179"/>
      <c r="INV24" s="179"/>
      <c r="INW24" s="179"/>
      <c r="INX24" s="179"/>
      <c r="INY24" s="179"/>
      <c r="INZ24" s="179"/>
      <c r="IOA24" s="179"/>
      <c r="IOB24" s="179"/>
      <c r="IOC24" s="179"/>
      <c r="IOD24" s="179"/>
      <c r="IOE24" s="179"/>
      <c r="IOF24" s="179"/>
      <c r="IOG24" s="179"/>
      <c r="IOH24" s="179"/>
      <c r="IOI24" s="179"/>
      <c r="IOJ24" s="179"/>
      <c r="IOK24" s="179"/>
      <c r="IOL24" s="179"/>
      <c r="IOM24" s="179"/>
      <c r="ION24" s="179"/>
      <c r="IOO24" s="179"/>
      <c r="IOP24" s="179"/>
      <c r="IOQ24" s="179"/>
      <c r="IOR24" s="179"/>
      <c r="IOS24" s="179"/>
      <c r="IOT24" s="179"/>
      <c r="IOU24" s="179"/>
      <c r="IOV24" s="179"/>
      <c r="IOW24" s="179"/>
      <c r="IOX24" s="179"/>
      <c r="IOY24" s="179"/>
      <c r="IOZ24" s="179"/>
      <c r="IPA24" s="179"/>
      <c r="IPB24" s="179"/>
      <c r="IPC24" s="179"/>
      <c r="IPD24" s="179"/>
      <c r="IPE24" s="179"/>
      <c r="IPF24" s="179"/>
      <c r="IPG24" s="179"/>
      <c r="IPH24" s="179"/>
      <c r="IPI24" s="179"/>
      <c r="IPJ24" s="179"/>
      <c r="IPK24" s="179"/>
      <c r="IPL24" s="179"/>
      <c r="IPM24" s="179"/>
      <c r="IPN24" s="179"/>
      <c r="IPO24" s="179"/>
      <c r="IPP24" s="179"/>
      <c r="IPQ24" s="179"/>
      <c r="IPR24" s="179"/>
      <c r="IPS24" s="179"/>
      <c r="IPT24" s="179"/>
      <c r="IPU24" s="179"/>
      <c r="IPV24" s="179"/>
      <c r="IPW24" s="179"/>
      <c r="IPX24" s="179"/>
      <c r="IPY24" s="179"/>
      <c r="IPZ24" s="179"/>
      <c r="IQA24" s="179"/>
      <c r="IQB24" s="179"/>
      <c r="IQC24" s="179"/>
      <c r="IQD24" s="179"/>
      <c r="IQE24" s="179"/>
      <c r="IQF24" s="179"/>
      <c r="IQG24" s="179"/>
      <c r="IQH24" s="179"/>
      <c r="IQI24" s="179"/>
      <c r="IQJ24" s="179"/>
      <c r="IQK24" s="179"/>
      <c r="IQL24" s="179"/>
      <c r="IQM24" s="179"/>
      <c r="IQN24" s="179"/>
      <c r="IQO24" s="179"/>
      <c r="IQP24" s="179"/>
      <c r="IQQ24" s="179"/>
      <c r="IQR24" s="179"/>
      <c r="IQS24" s="179"/>
      <c r="IQT24" s="179"/>
      <c r="IQU24" s="179"/>
      <c r="IQV24" s="179"/>
      <c r="IQW24" s="179"/>
      <c r="IQX24" s="179"/>
      <c r="IQY24" s="179"/>
      <c r="IQZ24" s="179"/>
      <c r="IRA24" s="179"/>
      <c r="IRB24" s="179"/>
      <c r="IRC24" s="179"/>
      <c r="IRD24" s="179"/>
      <c r="IRE24" s="179"/>
      <c r="IRF24" s="179"/>
      <c r="IRG24" s="179"/>
      <c r="IRH24" s="179"/>
      <c r="IRI24" s="179"/>
      <c r="IRJ24" s="179"/>
      <c r="IRK24" s="179"/>
      <c r="IRL24" s="179"/>
      <c r="IRM24" s="179"/>
      <c r="IRN24" s="179"/>
      <c r="IRO24" s="179"/>
      <c r="IRP24" s="179"/>
      <c r="IRQ24" s="179"/>
      <c r="IRR24" s="179"/>
      <c r="IRS24" s="179"/>
      <c r="IRT24" s="179"/>
      <c r="IRU24" s="179"/>
      <c r="IRV24" s="179"/>
      <c r="IRW24" s="179"/>
      <c r="IRX24" s="179"/>
      <c r="IRY24" s="179"/>
      <c r="IRZ24" s="179"/>
      <c r="ISA24" s="179"/>
      <c r="ISB24" s="179"/>
      <c r="ISC24" s="179"/>
      <c r="ISD24" s="179"/>
      <c r="ISE24" s="179"/>
      <c r="ISF24" s="179"/>
      <c r="ISG24" s="179"/>
      <c r="ISH24" s="179"/>
      <c r="ISI24" s="179"/>
      <c r="ISJ24" s="179"/>
      <c r="ISK24" s="179"/>
      <c r="ISL24" s="179"/>
      <c r="ISM24" s="179"/>
      <c r="ISN24" s="179"/>
      <c r="ISO24" s="179"/>
      <c r="ISP24" s="179"/>
      <c r="ISQ24" s="179"/>
      <c r="ISR24" s="179"/>
      <c r="ISS24" s="179"/>
      <c r="IST24" s="179"/>
      <c r="ISU24" s="179"/>
      <c r="ISV24" s="179"/>
      <c r="ISW24" s="179"/>
      <c r="ISX24" s="179"/>
      <c r="ISY24" s="179"/>
      <c r="ISZ24" s="179"/>
      <c r="ITA24" s="179"/>
      <c r="ITB24" s="179"/>
      <c r="ITC24" s="179"/>
      <c r="ITD24" s="179"/>
      <c r="ITE24" s="179"/>
      <c r="ITF24" s="179"/>
      <c r="ITG24" s="179"/>
      <c r="ITH24" s="179"/>
      <c r="ITI24" s="179"/>
      <c r="ITJ24" s="179"/>
      <c r="ITK24" s="179"/>
      <c r="ITL24" s="179"/>
      <c r="ITM24" s="179"/>
      <c r="ITN24" s="179"/>
      <c r="ITO24" s="179"/>
      <c r="ITP24" s="179"/>
      <c r="ITQ24" s="179"/>
      <c r="ITR24" s="179"/>
      <c r="ITS24" s="179"/>
      <c r="ITT24" s="179"/>
      <c r="ITU24" s="179"/>
      <c r="ITV24" s="179"/>
      <c r="ITW24" s="179"/>
      <c r="ITX24" s="179"/>
      <c r="ITY24" s="179"/>
      <c r="ITZ24" s="179"/>
      <c r="IUA24" s="179"/>
      <c r="IUB24" s="179"/>
      <c r="IUC24" s="179"/>
      <c r="IUD24" s="179"/>
      <c r="IUE24" s="179"/>
      <c r="IUF24" s="179"/>
      <c r="IUG24" s="179"/>
      <c r="IUH24" s="179"/>
      <c r="IUI24" s="179"/>
      <c r="IUJ24" s="179"/>
      <c r="IUK24" s="179"/>
      <c r="IUL24" s="179"/>
      <c r="IUM24" s="179"/>
      <c r="IUN24" s="179"/>
      <c r="IUO24" s="179"/>
      <c r="IUP24" s="179"/>
      <c r="IUQ24" s="179"/>
      <c r="IUR24" s="179"/>
      <c r="IUS24" s="179"/>
      <c r="IUT24" s="179"/>
    </row>
    <row r="25" spans="1:16381" s="125" customFormat="1" ht="69" customHeight="1">
      <c r="C25" s="38">
        <v>14</v>
      </c>
      <c r="D25" s="151" t="s">
        <v>178</v>
      </c>
      <c r="E25" s="74"/>
      <c r="F25" s="152"/>
      <c r="G25" s="152"/>
      <c r="H25" s="153">
        <v>2</v>
      </c>
      <c r="I25" s="153">
        <f>IF(E25="O",2,IF(F25="O",1,IF(G25="O",0,0)))</f>
        <v>0</v>
      </c>
      <c r="J25" s="154">
        <f t="shared" ref="J25:J30" si="1">I25*100/$H$24</f>
        <v>0</v>
      </c>
      <c r="K25" s="155"/>
      <c r="M25" s="156">
        <v>2</v>
      </c>
      <c r="BR25" s="179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179"/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79"/>
      <c r="DK25" s="179"/>
      <c r="DL25" s="179"/>
      <c r="DM25" s="179"/>
      <c r="DN25" s="179"/>
      <c r="DO25" s="179"/>
      <c r="DP25" s="179"/>
      <c r="DQ25" s="179"/>
      <c r="DR25" s="179"/>
      <c r="DS25" s="179"/>
      <c r="DT25" s="179"/>
      <c r="DU25" s="179"/>
      <c r="DV25" s="179"/>
      <c r="DW25" s="179"/>
      <c r="DX25" s="179"/>
      <c r="DY25" s="179"/>
      <c r="DZ25" s="179"/>
      <c r="EA25" s="179"/>
      <c r="EB25" s="179"/>
      <c r="EC25" s="179"/>
      <c r="ED25" s="179"/>
      <c r="EE25" s="179"/>
      <c r="EF25" s="179"/>
      <c r="EG25" s="179"/>
      <c r="EH25" s="179"/>
      <c r="EI25" s="179"/>
      <c r="EJ25" s="179"/>
      <c r="EK25" s="179"/>
      <c r="EL25" s="179"/>
      <c r="EM25" s="179"/>
      <c r="EN25" s="179"/>
      <c r="EO25" s="179"/>
      <c r="EP25" s="179"/>
      <c r="EQ25" s="179"/>
      <c r="ER25" s="179"/>
      <c r="ES25" s="179"/>
      <c r="ET25" s="179"/>
      <c r="EU25" s="179"/>
      <c r="EV25" s="179"/>
      <c r="EW25" s="179"/>
      <c r="EX25" s="179"/>
      <c r="EY25" s="179"/>
      <c r="EZ25" s="179"/>
      <c r="FA25" s="179"/>
      <c r="FB25" s="179"/>
      <c r="FC25" s="179"/>
      <c r="FD25" s="179"/>
      <c r="FE25" s="179"/>
      <c r="FF25" s="179"/>
      <c r="FG25" s="179"/>
      <c r="FH25" s="179"/>
      <c r="FI25" s="179"/>
      <c r="FJ25" s="179"/>
      <c r="FK25" s="179"/>
      <c r="FL25" s="179"/>
      <c r="FM25" s="179"/>
      <c r="FN25" s="179"/>
      <c r="FO25" s="179"/>
      <c r="FP25" s="179"/>
      <c r="FQ25" s="179"/>
      <c r="FR25" s="179"/>
      <c r="FS25" s="179"/>
      <c r="FT25" s="179"/>
      <c r="FU25" s="179"/>
      <c r="FV25" s="179"/>
      <c r="FW25" s="179"/>
      <c r="FX25" s="179"/>
      <c r="FY25" s="179"/>
      <c r="FZ25" s="179"/>
      <c r="GA25" s="179"/>
      <c r="GB25" s="179"/>
      <c r="GC25" s="179"/>
      <c r="GD25" s="179"/>
      <c r="GE25" s="179"/>
      <c r="GF25" s="179"/>
      <c r="GG25" s="179"/>
      <c r="GH25" s="179"/>
      <c r="GI25" s="179"/>
      <c r="GJ25" s="179"/>
      <c r="GK25" s="179"/>
      <c r="GL25" s="179"/>
      <c r="GM25" s="179"/>
      <c r="GN25" s="179"/>
      <c r="GO25" s="179"/>
      <c r="GP25" s="179"/>
      <c r="GQ25" s="179"/>
      <c r="GR25" s="179"/>
      <c r="GS25" s="179"/>
      <c r="GT25" s="179"/>
      <c r="GU25" s="179"/>
      <c r="GV25" s="179"/>
      <c r="GW25" s="179"/>
      <c r="GX25" s="179"/>
      <c r="GY25" s="179"/>
      <c r="GZ25" s="179"/>
      <c r="HA25" s="179"/>
      <c r="HB25" s="179"/>
      <c r="HC25" s="179"/>
      <c r="HD25" s="179"/>
      <c r="HE25" s="179"/>
      <c r="HF25" s="179"/>
      <c r="HG25" s="179"/>
      <c r="HH25" s="179"/>
      <c r="HI25" s="179"/>
      <c r="HJ25" s="179"/>
      <c r="HK25" s="179"/>
      <c r="HL25" s="179"/>
      <c r="HM25" s="179"/>
      <c r="HN25" s="179"/>
      <c r="HO25" s="179"/>
      <c r="HP25" s="179"/>
      <c r="HQ25" s="179"/>
      <c r="HR25" s="179"/>
      <c r="HS25" s="179"/>
      <c r="HT25" s="179"/>
      <c r="HU25" s="179"/>
      <c r="HV25" s="179"/>
      <c r="HW25" s="179"/>
      <c r="HX25" s="179"/>
      <c r="HY25" s="179"/>
      <c r="HZ25" s="179"/>
      <c r="IA25" s="179"/>
      <c r="IB25" s="179"/>
      <c r="IC25" s="179"/>
      <c r="ID25" s="179"/>
      <c r="IE25" s="179"/>
      <c r="IF25" s="179"/>
      <c r="IG25" s="179"/>
      <c r="IH25" s="179"/>
      <c r="II25" s="179"/>
      <c r="IJ25" s="179"/>
      <c r="IK25" s="179"/>
      <c r="IL25" s="179"/>
      <c r="IM25" s="179"/>
      <c r="IN25" s="179"/>
      <c r="IO25" s="179"/>
      <c r="IP25" s="179"/>
      <c r="IQ25" s="179"/>
      <c r="IR25" s="179"/>
      <c r="IS25" s="179"/>
      <c r="IT25" s="179"/>
      <c r="IU25" s="179"/>
      <c r="IV25" s="179"/>
      <c r="IW25" s="179"/>
      <c r="IX25" s="179"/>
      <c r="IY25" s="179"/>
      <c r="IZ25" s="179"/>
      <c r="JA25" s="179"/>
      <c r="JB25" s="179"/>
      <c r="JC25" s="179"/>
      <c r="JD25" s="179"/>
      <c r="JE25" s="179"/>
      <c r="JF25" s="179"/>
      <c r="JG25" s="179"/>
      <c r="JH25" s="179"/>
      <c r="JI25" s="179"/>
      <c r="JJ25" s="179"/>
      <c r="JK25" s="179"/>
      <c r="JL25" s="179"/>
      <c r="JM25" s="179"/>
      <c r="JN25" s="179"/>
      <c r="JO25" s="179"/>
      <c r="JP25" s="179"/>
      <c r="JQ25" s="179"/>
      <c r="JR25" s="179"/>
      <c r="JS25" s="179"/>
      <c r="JT25" s="179"/>
      <c r="JU25" s="179"/>
      <c r="JV25" s="179"/>
      <c r="JW25" s="179"/>
      <c r="JX25" s="179"/>
      <c r="JY25" s="179"/>
      <c r="JZ25" s="179"/>
      <c r="KA25" s="179"/>
      <c r="KB25" s="179"/>
      <c r="KC25" s="179"/>
      <c r="KD25" s="179"/>
      <c r="KE25" s="179"/>
      <c r="KF25" s="179"/>
      <c r="KG25" s="179"/>
      <c r="KH25" s="179"/>
      <c r="KI25" s="179"/>
      <c r="KJ25" s="179"/>
      <c r="KK25" s="179"/>
      <c r="KL25" s="179"/>
      <c r="KM25" s="179"/>
      <c r="KN25" s="179"/>
      <c r="KO25" s="179"/>
      <c r="KP25" s="179"/>
      <c r="KQ25" s="179"/>
      <c r="KR25" s="179"/>
      <c r="KS25" s="179"/>
      <c r="KT25" s="179"/>
      <c r="KU25" s="179"/>
      <c r="KV25" s="179"/>
      <c r="KW25" s="179"/>
      <c r="KX25" s="179"/>
      <c r="KY25" s="179"/>
      <c r="KZ25" s="179"/>
      <c r="LA25" s="179"/>
      <c r="LB25" s="179"/>
      <c r="LC25" s="179"/>
      <c r="LD25" s="179"/>
      <c r="LE25" s="179"/>
      <c r="LF25" s="179"/>
      <c r="LG25" s="179"/>
      <c r="LH25" s="179"/>
      <c r="LI25" s="179"/>
      <c r="LJ25" s="179"/>
      <c r="LK25" s="179"/>
      <c r="LL25" s="179"/>
      <c r="LM25" s="179"/>
      <c r="LN25" s="179"/>
      <c r="LO25" s="179"/>
      <c r="LP25" s="179"/>
      <c r="LQ25" s="179"/>
      <c r="LR25" s="179"/>
      <c r="LS25" s="179"/>
      <c r="LT25" s="179"/>
      <c r="LU25" s="179"/>
      <c r="LV25" s="179"/>
      <c r="LW25" s="179"/>
      <c r="LX25" s="179"/>
      <c r="LY25" s="179"/>
      <c r="LZ25" s="179"/>
      <c r="MA25" s="179"/>
      <c r="MB25" s="179"/>
      <c r="MC25" s="179"/>
      <c r="MD25" s="179"/>
      <c r="ME25" s="179"/>
      <c r="MF25" s="179"/>
      <c r="MG25" s="179"/>
      <c r="MH25" s="179"/>
      <c r="MI25" s="179"/>
      <c r="MJ25" s="179"/>
      <c r="MK25" s="179"/>
      <c r="ML25" s="179"/>
      <c r="MM25" s="179"/>
      <c r="MN25" s="179"/>
      <c r="MO25" s="179"/>
      <c r="MP25" s="179"/>
      <c r="MQ25" s="179"/>
      <c r="MR25" s="179"/>
      <c r="MS25" s="179"/>
      <c r="MT25" s="179"/>
      <c r="MU25" s="179"/>
      <c r="MV25" s="179"/>
      <c r="MW25" s="179"/>
      <c r="MX25" s="179"/>
      <c r="MY25" s="179"/>
      <c r="MZ25" s="179"/>
      <c r="NA25" s="179"/>
      <c r="NB25" s="179"/>
      <c r="NC25" s="179"/>
      <c r="ND25" s="179"/>
      <c r="NE25" s="179"/>
      <c r="NF25" s="179"/>
      <c r="NG25" s="179"/>
      <c r="NH25" s="179"/>
      <c r="NI25" s="179"/>
      <c r="NJ25" s="179"/>
      <c r="NK25" s="179"/>
      <c r="NL25" s="179"/>
      <c r="NM25" s="179"/>
      <c r="NN25" s="179"/>
      <c r="NO25" s="179"/>
      <c r="NP25" s="179"/>
      <c r="NQ25" s="179"/>
      <c r="NR25" s="179"/>
      <c r="NS25" s="179"/>
      <c r="NT25" s="179"/>
      <c r="NU25" s="179"/>
      <c r="NV25" s="179"/>
      <c r="NW25" s="179"/>
      <c r="NX25" s="179"/>
      <c r="NY25" s="179"/>
      <c r="NZ25" s="179"/>
      <c r="OA25" s="179"/>
      <c r="OB25" s="179"/>
      <c r="OC25" s="179"/>
      <c r="OD25" s="179"/>
      <c r="OE25" s="179"/>
      <c r="OF25" s="179"/>
      <c r="OG25" s="179"/>
      <c r="OH25" s="179"/>
      <c r="OI25" s="179"/>
      <c r="OJ25" s="179"/>
      <c r="OK25" s="179"/>
      <c r="OL25" s="179"/>
      <c r="OM25" s="179"/>
      <c r="ON25" s="179"/>
      <c r="OO25" s="179"/>
      <c r="OP25" s="179"/>
      <c r="OQ25" s="179"/>
      <c r="OR25" s="179"/>
      <c r="OS25" s="179"/>
      <c r="OT25" s="179"/>
      <c r="OU25" s="179"/>
      <c r="OV25" s="179"/>
      <c r="OW25" s="179"/>
      <c r="OX25" s="179"/>
      <c r="OY25" s="179"/>
      <c r="OZ25" s="179"/>
      <c r="PA25" s="179"/>
      <c r="PB25" s="179"/>
      <c r="PC25" s="179"/>
      <c r="PD25" s="179"/>
      <c r="PE25" s="179"/>
      <c r="PF25" s="179"/>
      <c r="PG25" s="179"/>
      <c r="PH25" s="179"/>
      <c r="PI25" s="179"/>
      <c r="PJ25" s="179"/>
      <c r="PK25" s="179"/>
      <c r="PL25" s="179"/>
      <c r="PM25" s="179"/>
      <c r="PN25" s="179"/>
      <c r="PO25" s="179"/>
      <c r="PP25" s="179"/>
      <c r="PQ25" s="179"/>
      <c r="PR25" s="179"/>
      <c r="PS25" s="179"/>
      <c r="PT25" s="179"/>
      <c r="PU25" s="179"/>
      <c r="PV25" s="179"/>
      <c r="PW25" s="179"/>
      <c r="PX25" s="179"/>
      <c r="PY25" s="179"/>
      <c r="PZ25" s="179"/>
      <c r="QA25" s="179"/>
      <c r="QB25" s="179"/>
      <c r="QC25" s="179"/>
      <c r="QD25" s="179"/>
      <c r="QE25" s="179"/>
      <c r="QF25" s="179"/>
      <c r="QG25" s="179"/>
      <c r="QH25" s="179"/>
      <c r="QI25" s="179"/>
      <c r="QJ25" s="179"/>
      <c r="QK25" s="179"/>
      <c r="QL25" s="179"/>
      <c r="QM25" s="179"/>
      <c r="QN25" s="179"/>
      <c r="QO25" s="179"/>
      <c r="QP25" s="179"/>
      <c r="QQ25" s="179"/>
      <c r="QR25" s="179"/>
      <c r="QS25" s="179"/>
      <c r="QT25" s="179"/>
      <c r="QU25" s="179"/>
      <c r="QV25" s="179"/>
      <c r="QW25" s="179"/>
      <c r="QX25" s="179"/>
      <c r="QY25" s="179"/>
      <c r="QZ25" s="179"/>
      <c r="RA25" s="179"/>
      <c r="RB25" s="179"/>
      <c r="RC25" s="179"/>
      <c r="RD25" s="179"/>
      <c r="RE25" s="179"/>
      <c r="RF25" s="179"/>
      <c r="RG25" s="179"/>
      <c r="RH25" s="179"/>
      <c r="RI25" s="179"/>
      <c r="RJ25" s="179"/>
      <c r="RK25" s="179"/>
      <c r="RL25" s="179"/>
      <c r="ICU25" s="150" t="s">
        <v>179</v>
      </c>
      <c r="ICV25" s="186"/>
      <c r="ICW25" s="179"/>
      <c r="ICX25" s="179"/>
      <c r="ICY25" s="179"/>
      <c r="ICZ25" s="179"/>
      <c r="IDA25" s="179"/>
      <c r="IDB25" s="179"/>
      <c r="IDC25" s="179"/>
      <c r="IDD25" s="179"/>
      <c r="IDE25" s="179"/>
      <c r="IDF25" s="179"/>
      <c r="IDG25" s="179"/>
      <c r="IDH25" s="179"/>
      <c r="IDI25" s="179"/>
      <c r="IDJ25" s="179"/>
      <c r="IDK25" s="179"/>
      <c r="IDL25" s="179"/>
      <c r="IDM25" s="179"/>
      <c r="IDN25" s="179"/>
      <c r="IDO25" s="179"/>
      <c r="IDP25" s="179"/>
      <c r="IDQ25" s="179"/>
      <c r="IDR25" s="179"/>
      <c r="IDS25" s="179"/>
      <c r="IDT25" s="179"/>
      <c r="IDU25" s="179"/>
      <c r="IDV25" s="179"/>
      <c r="IDW25" s="179"/>
      <c r="IDX25" s="179"/>
      <c r="IDY25" s="179"/>
      <c r="IDZ25" s="179"/>
      <c r="IEA25" s="179"/>
      <c r="IEB25" s="179"/>
      <c r="IEC25" s="179"/>
      <c r="IED25" s="179"/>
      <c r="IEE25" s="179"/>
      <c r="IEF25" s="179"/>
      <c r="IEG25" s="179"/>
      <c r="IEH25" s="179"/>
      <c r="IEI25" s="179"/>
      <c r="IEJ25" s="179"/>
      <c r="IEK25" s="179"/>
      <c r="IEL25" s="179"/>
      <c r="IEM25" s="179"/>
      <c r="IEN25" s="179"/>
      <c r="IEO25" s="179"/>
      <c r="IEP25" s="179"/>
      <c r="IEQ25" s="179"/>
      <c r="IER25" s="179"/>
      <c r="IES25" s="179"/>
      <c r="IET25" s="179"/>
      <c r="IEU25" s="179"/>
      <c r="IEV25" s="179"/>
      <c r="IEW25" s="179"/>
      <c r="IEX25" s="179"/>
      <c r="IEY25" s="179"/>
      <c r="IEZ25" s="179"/>
      <c r="IFA25" s="179"/>
      <c r="IFB25" s="179"/>
      <c r="IFC25" s="179"/>
      <c r="IFD25" s="179"/>
      <c r="IFE25" s="179"/>
      <c r="IFF25" s="179"/>
      <c r="IFG25" s="179"/>
      <c r="IFH25" s="179"/>
      <c r="IFI25" s="179"/>
      <c r="IFJ25" s="179"/>
      <c r="IFK25" s="179"/>
      <c r="IFL25" s="179"/>
      <c r="IFM25" s="179"/>
      <c r="IFN25" s="179"/>
      <c r="IFO25" s="179"/>
      <c r="IFP25" s="179"/>
      <c r="IFQ25" s="179"/>
      <c r="IFR25" s="179"/>
      <c r="IFS25" s="179"/>
      <c r="IFT25" s="179"/>
      <c r="IFU25" s="179"/>
      <c r="IFV25" s="179"/>
      <c r="IFW25" s="179"/>
      <c r="IFX25" s="179"/>
      <c r="IFY25" s="179"/>
      <c r="IFZ25" s="179"/>
      <c r="IGA25" s="179"/>
      <c r="IGB25" s="179"/>
      <c r="IGC25" s="179"/>
      <c r="IGD25" s="179"/>
      <c r="IGE25" s="179"/>
      <c r="IGF25" s="179"/>
      <c r="IGG25" s="179"/>
      <c r="IGH25" s="179"/>
      <c r="IGI25" s="179"/>
      <c r="IGJ25" s="179"/>
      <c r="IGK25" s="179"/>
      <c r="IGL25" s="179"/>
      <c r="IGM25" s="179"/>
      <c r="IGN25" s="179"/>
      <c r="IGO25" s="179"/>
      <c r="IGP25" s="179"/>
      <c r="IGQ25" s="179"/>
      <c r="IGR25" s="179"/>
      <c r="IGS25" s="179"/>
      <c r="IGT25" s="179"/>
      <c r="IGU25" s="179"/>
      <c r="IGV25" s="179"/>
      <c r="IGW25" s="179"/>
      <c r="IGX25" s="179"/>
      <c r="IGY25" s="179"/>
      <c r="IGZ25" s="179"/>
      <c r="IHA25" s="179"/>
      <c r="IHB25" s="179"/>
      <c r="IHC25" s="179"/>
      <c r="IHD25" s="179"/>
      <c r="IHE25" s="179"/>
      <c r="IHF25" s="179"/>
      <c r="IHG25" s="179"/>
      <c r="IHH25" s="179"/>
      <c r="IHI25" s="179"/>
      <c r="IHJ25" s="179"/>
      <c r="IHK25" s="179"/>
      <c r="IHL25" s="179"/>
      <c r="IHM25" s="179"/>
      <c r="IHN25" s="179"/>
      <c r="IHO25" s="179"/>
      <c r="IHP25" s="179"/>
      <c r="IHQ25" s="179"/>
      <c r="IHR25" s="179"/>
      <c r="IHS25" s="179"/>
      <c r="IHT25" s="179"/>
      <c r="IHU25" s="179"/>
      <c r="IHV25" s="179"/>
      <c r="IHW25" s="179"/>
      <c r="IHX25" s="179"/>
      <c r="IHY25" s="179"/>
      <c r="IHZ25" s="179"/>
      <c r="IIA25" s="179"/>
      <c r="IIB25" s="179"/>
      <c r="IIC25" s="179"/>
      <c r="IID25" s="179"/>
      <c r="IIE25" s="179"/>
      <c r="IIF25" s="179"/>
      <c r="IIG25" s="179"/>
      <c r="IIH25" s="179"/>
      <c r="III25" s="179"/>
      <c r="IIJ25" s="179"/>
      <c r="IIK25" s="179"/>
      <c r="IIL25" s="179"/>
      <c r="IIM25" s="179"/>
      <c r="IIN25" s="179"/>
      <c r="IIO25" s="179"/>
      <c r="IIP25" s="179"/>
      <c r="IIQ25" s="179"/>
      <c r="IIR25" s="179"/>
      <c r="IIS25" s="179"/>
      <c r="IIT25" s="179"/>
      <c r="IIU25" s="179"/>
      <c r="IIV25" s="179"/>
      <c r="IIW25" s="179"/>
      <c r="IIX25" s="179"/>
      <c r="IIY25" s="179"/>
      <c r="IIZ25" s="179"/>
      <c r="IJA25" s="179"/>
      <c r="IJB25" s="179"/>
      <c r="IJC25" s="179"/>
      <c r="IJD25" s="179"/>
      <c r="IJE25" s="179"/>
      <c r="IJF25" s="179"/>
      <c r="IJG25" s="179"/>
      <c r="IJH25" s="179"/>
      <c r="IJI25" s="179"/>
      <c r="IJJ25" s="179"/>
      <c r="IJK25" s="179"/>
      <c r="IJL25" s="179"/>
      <c r="IJM25" s="179"/>
      <c r="IJN25" s="179"/>
      <c r="IJO25" s="179"/>
      <c r="IJP25" s="179"/>
      <c r="IJQ25" s="179"/>
      <c r="IJR25" s="179"/>
      <c r="IJS25" s="179"/>
      <c r="IJT25" s="179"/>
      <c r="IJU25" s="179"/>
      <c r="IJV25" s="179"/>
      <c r="IJW25" s="179"/>
      <c r="IJX25" s="179"/>
      <c r="IJY25" s="179"/>
      <c r="IJZ25" s="179"/>
      <c r="IKA25" s="179"/>
      <c r="IKB25" s="179"/>
      <c r="IKC25" s="179"/>
      <c r="IKD25" s="179"/>
      <c r="IKE25" s="179"/>
      <c r="IKF25" s="179"/>
      <c r="IKG25" s="179"/>
      <c r="IKH25" s="179"/>
      <c r="IKI25" s="179"/>
      <c r="IKJ25" s="179"/>
      <c r="IKK25" s="179"/>
      <c r="IKL25" s="179"/>
      <c r="IKM25" s="179"/>
      <c r="IKN25" s="179"/>
      <c r="IKO25" s="179"/>
      <c r="IKP25" s="179"/>
      <c r="IKQ25" s="179"/>
      <c r="IKR25" s="179"/>
      <c r="IKS25" s="179"/>
      <c r="IKT25" s="179"/>
      <c r="IKU25" s="179"/>
      <c r="IKV25" s="179"/>
      <c r="IKW25" s="179"/>
      <c r="IKX25" s="179"/>
      <c r="IKY25" s="179"/>
      <c r="IKZ25" s="179"/>
      <c r="ILA25" s="179"/>
      <c r="ILB25" s="179"/>
      <c r="ILC25" s="179"/>
      <c r="ILD25" s="179"/>
      <c r="ILE25" s="179"/>
      <c r="ILF25" s="179"/>
      <c r="ILG25" s="179"/>
      <c r="ILH25" s="179"/>
      <c r="ILI25" s="179"/>
      <c r="ILJ25" s="179"/>
      <c r="ILK25" s="179"/>
      <c r="ILL25" s="179"/>
      <c r="ILM25" s="179"/>
      <c r="ILN25" s="179"/>
      <c r="ILO25" s="179"/>
      <c r="ILP25" s="179"/>
      <c r="ILQ25" s="179"/>
      <c r="ILR25" s="179"/>
      <c r="ILS25" s="179"/>
      <c r="ILT25" s="179"/>
      <c r="ILU25" s="179"/>
      <c r="ILV25" s="179"/>
      <c r="ILW25" s="179"/>
      <c r="ILX25" s="179"/>
      <c r="ILY25" s="179"/>
      <c r="ILZ25" s="179"/>
      <c r="IMA25" s="179"/>
      <c r="IMB25" s="179"/>
      <c r="IMC25" s="179"/>
      <c r="IMD25" s="179"/>
      <c r="IME25" s="179"/>
      <c r="IMF25" s="179"/>
      <c r="IMG25" s="179"/>
      <c r="IMH25" s="179"/>
      <c r="IMI25" s="179"/>
      <c r="IMJ25" s="179"/>
      <c r="IMK25" s="179"/>
      <c r="IML25" s="179"/>
      <c r="IMM25" s="179"/>
      <c r="IMN25" s="179"/>
      <c r="IMO25" s="179"/>
      <c r="IMP25" s="179"/>
      <c r="IMQ25" s="179"/>
      <c r="IMR25" s="179"/>
      <c r="IMS25" s="179"/>
      <c r="IMT25" s="179"/>
      <c r="IMU25" s="179"/>
      <c r="IMV25" s="179"/>
      <c r="IMW25" s="179"/>
      <c r="IMX25" s="179"/>
      <c r="IMY25" s="179"/>
      <c r="IMZ25" s="179"/>
      <c r="INA25" s="179"/>
      <c r="INB25" s="179"/>
      <c r="INC25" s="179"/>
      <c r="IND25" s="179"/>
      <c r="INE25" s="179"/>
      <c r="INF25" s="179"/>
      <c r="ING25" s="179"/>
      <c r="INH25" s="179"/>
      <c r="INI25" s="179"/>
      <c r="INJ25" s="179"/>
      <c r="INK25" s="179"/>
      <c r="INL25" s="179"/>
      <c r="INM25" s="179"/>
      <c r="INN25" s="179"/>
      <c r="INO25" s="179"/>
      <c r="INP25" s="179"/>
      <c r="INQ25" s="179"/>
      <c r="INR25" s="179"/>
      <c r="INS25" s="179"/>
      <c r="INT25" s="179"/>
      <c r="INU25" s="179"/>
      <c r="INV25" s="179"/>
      <c r="INW25" s="179"/>
      <c r="INX25" s="179"/>
      <c r="INY25" s="179"/>
      <c r="INZ25" s="179"/>
      <c r="IOA25" s="179"/>
      <c r="IOB25" s="179"/>
      <c r="IOC25" s="179"/>
      <c r="IOD25" s="179"/>
      <c r="IOE25" s="179"/>
      <c r="IOF25" s="179"/>
      <c r="IOG25" s="179"/>
      <c r="IOH25" s="179"/>
      <c r="IOI25" s="179"/>
      <c r="IOJ25" s="179"/>
      <c r="IOK25" s="179"/>
      <c r="IOL25" s="179"/>
      <c r="IOM25" s="179"/>
      <c r="ION25" s="179"/>
      <c r="IOO25" s="179"/>
      <c r="IOP25" s="179"/>
      <c r="IOQ25" s="179"/>
      <c r="IOR25" s="179"/>
      <c r="IOS25" s="179"/>
      <c r="IOT25" s="179"/>
      <c r="IOU25" s="179"/>
      <c r="IOV25" s="179"/>
      <c r="IOW25" s="179"/>
      <c r="IOX25" s="179"/>
      <c r="IOY25" s="179"/>
      <c r="IOZ25" s="179"/>
      <c r="IPA25" s="179"/>
      <c r="IPB25" s="179"/>
      <c r="IPC25" s="179"/>
      <c r="IPD25" s="179"/>
      <c r="IPE25" s="179"/>
      <c r="IPF25" s="179"/>
      <c r="IPG25" s="179"/>
      <c r="IPH25" s="179"/>
      <c r="IPI25" s="179"/>
      <c r="IPJ25" s="179"/>
      <c r="IPK25" s="179"/>
      <c r="IPL25" s="179"/>
      <c r="IPM25" s="179"/>
      <c r="IPN25" s="179"/>
      <c r="IPO25" s="179"/>
      <c r="IPP25" s="179"/>
      <c r="IPQ25" s="179"/>
      <c r="IPR25" s="179"/>
      <c r="IPS25" s="179"/>
      <c r="IPT25" s="179"/>
      <c r="IPU25" s="179"/>
      <c r="IPV25" s="179"/>
      <c r="IPW25" s="179"/>
      <c r="IPX25" s="179"/>
      <c r="IPY25" s="179"/>
      <c r="IPZ25" s="179"/>
      <c r="IQA25" s="179"/>
      <c r="IQB25" s="179"/>
      <c r="IQC25" s="179"/>
      <c r="IQD25" s="179"/>
      <c r="IQE25" s="179"/>
      <c r="IQF25" s="179"/>
      <c r="IQG25" s="179"/>
      <c r="IQH25" s="179"/>
      <c r="IQI25" s="179"/>
      <c r="IQJ25" s="179"/>
      <c r="IQK25" s="179"/>
      <c r="IQL25" s="179"/>
      <c r="IQM25" s="179"/>
      <c r="IQN25" s="179"/>
      <c r="IQO25" s="179"/>
      <c r="IQP25" s="179"/>
      <c r="IQQ25" s="179"/>
      <c r="IQR25" s="179"/>
      <c r="IQS25" s="179"/>
      <c r="IQT25" s="179"/>
      <c r="IQU25" s="179"/>
      <c r="IQV25" s="179"/>
      <c r="IQW25" s="179"/>
      <c r="IQX25" s="179"/>
      <c r="IQY25" s="179"/>
      <c r="IQZ25" s="179"/>
      <c r="IRA25" s="179"/>
      <c r="IRB25" s="179"/>
      <c r="IRC25" s="179"/>
      <c r="IRD25" s="179"/>
      <c r="IRE25" s="179"/>
      <c r="IRF25" s="179"/>
      <c r="IRG25" s="179"/>
      <c r="IRH25" s="179"/>
      <c r="IRI25" s="179"/>
      <c r="IRJ25" s="179"/>
      <c r="IRK25" s="179"/>
      <c r="IRL25" s="179"/>
      <c r="IRM25" s="179"/>
      <c r="IRN25" s="179"/>
      <c r="IRO25" s="179"/>
      <c r="IRP25" s="179"/>
      <c r="IRQ25" s="179"/>
      <c r="IRR25" s="179"/>
      <c r="IRS25" s="179"/>
      <c r="IRT25" s="179"/>
      <c r="IRU25" s="179"/>
      <c r="IRV25" s="179"/>
      <c r="IRW25" s="179"/>
      <c r="IRX25" s="179"/>
      <c r="IRY25" s="179"/>
      <c r="IRZ25" s="179"/>
      <c r="ISA25" s="179"/>
      <c r="ISB25" s="179"/>
      <c r="ISC25" s="179"/>
      <c r="ISD25" s="179"/>
      <c r="ISE25" s="179"/>
      <c r="ISF25" s="179"/>
      <c r="ISG25" s="179"/>
      <c r="ISH25" s="179"/>
      <c r="ISI25" s="179"/>
      <c r="ISJ25" s="179"/>
      <c r="ISK25" s="179"/>
      <c r="ISL25" s="179"/>
      <c r="ISM25" s="179"/>
      <c r="ISN25" s="179"/>
      <c r="ISO25" s="179"/>
      <c r="ISP25" s="179"/>
      <c r="ISQ25" s="179"/>
      <c r="ISR25" s="179"/>
      <c r="ISS25" s="179"/>
      <c r="IST25" s="179"/>
      <c r="ISU25" s="179"/>
      <c r="ISV25" s="179"/>
      <c r="ISW25" s="179"/>
      <c r="ISX25" s="179"/>
      <c r="ISY25" s="179"/>
      <c r="ISZ25" s="179"/>
      <c r="ITA25" s="179"/>
      <c r="ITB25" s="179"/>
      <c r="ITC25" s="179"/>
      <c r="ITD25" s="179"/>
      <c r="ITE25" s="179"/>
      <c r="ITF25" s="179"/>
      <c r="ITG25" s="179"/>
      <c r="ITH25" s="179"/>
      <c r="ITI25" s="179"/>
      <c r="ITJ25" s="179"/>
      <c r="ITK25" s="179"/>
      <c r="ITL25" s="179"/>
      <c r="ITM25" s="179"/>
      <c r="ITN25" s="179"/>
      <c r="ITO25" s="179"/>
      <c r="ITP25" s="179"/>
      <c r="ITQ25" s="179"/>
      <c r="ITR25" s="179"/>
      <c r="ITS25" s="179"/>
      <c r="ITT25" s="179"/>
      <c r="ITU25" s="179"/>
      <c r="ITV25" s="179"/>
      <c r="ITW25" s="179"/>
      <c r="ITX25" s="179"/>
      <c r="ITY25" s="179"/>
      <c r="ITZ25" s="179"/>
      <c r="IUA25" s="179"/>
      <c r="IUB25" s="179"/>
      <c r="IUC25" s="179"/>
      <c r="IUD25" s="179"/>
      <c r="IUE25" s="179"/>
      <c r="IUF25" s="179"/>
      <c r="IUG25" s="179"/>
      <c r="IUH25" s="179"/>
      <c r="IUI25" s="179"/>
      <c r="IUJ25" s="179"/>
      <c r="IUK25" s="179"/>
      <c r="IUL25" s="179"/>
      <c r="IUM25" s="179"/>
      <c r="IUN25" s="179"/>
      <c r="IUO25" s="179"/>
      <c r="IUP25" s="179"/>
      <c r="IUQ25" s="179"/>
      <c r="IUR25" s="179"/>
      <c r="IUS25" s="179"/>
      <c r="IUT25" s="179"/>
    </row>
    <row r="26" spans="1:16381" s="125" customFormat="1" ht="112.9" customHeight="1">
      <c r="C26" s="38">
        <v>15</v>
      </c>
      <c r="D26" s="151" t="s">
        <v>180</v>
      </c>
      <c r="E26" s="152"/>
      <c r="F26" s="152"/>
      <c r="G26" s="152"/>
      <c r="H26" s="153">
        <v>4</v>
      </c>
      <c r="I26" s="153">
        <f>IF(E26="O",4,IF(F26="O",2,IF(G26="O",0,0)))</f>
        <v>0</v>
      </c>
      <c r="J26" s="154">
        <f t="shared" si="1"/>
        <v>0</v>
      </c>
      <c r="K26" s="155"/>
      <c r="M26" s="156">
        <v>4</v>
      </c>
      <c r="JV26" s="179"/>
      <c r="JW26" s="179"/>
      <c r="JX26" s="179"/>
      <c r="JY26" s="179"/>
      <c r="JZ26" s="179"/>
      <c r="KA26" s="179"/>
      <c r="KB26" s="179"/>
      <c r="KC26" s="179"/>
      <c r="KD26" s="179"/>
      <c r="KE26" s="179"/>
      <c r="KF26" s="179"/>
      <c r="KG26" s="179"/>
      <c r="KH26" s="179"/>
      <c r="KI26" s="179"/>
      <c r="KJ26" s="179"/>
      <c r="KK26" s="179"/>
      <c r="KL26" s="179"/>
      <c r="KM26" s="179"/>
      <c r="KN26" s="179"/>
      <c r="KO26" s="179"/>
      <c r="KP26" s="179"/>
      <c r="KQ26" s="179"/>
      <c r="KR26" s="179"/>
      <c r="KS26" s="179"/>
      <c r="KT26" s="179"/>
      <c r="KU26" s="179"/>
      <c r="KV26" s="179"/>
      <c r="KW26" s="179"/>
      <c r="KX26" s="179"/>
      <c r="KY26" s="179"/>
      <c r="KZ26" s="179"/>
      <c r="LA26" s="179"/>
      <c r="LB26" s="179"/>
      <c r="LC26" s="179"/>
      <c r="LD26" s="179"/>
      <c r="LE26" s="179"/>
      <c r="LF26" s="179"/>
      <c r="LG26" s="179"/>
      <c r="LH26" s="179"/>
      <c r="LI26" s="179"/>
      <c r="LJ26" s="179"/>
      <c r="LK26" s="179"/>
      <c r="LL26" s="179"/>
      <c r="LM26" s="179"/>
      <c r="LN26" s="179"/>
      <c r="LO26" s="179"/>
      <c r="LP26" s="179"/>
      <c r="LQ26" s="179"/>
      <c r="LR26" s="179"/>
      <c r="LS26" s="179"/>
      <c r="LT26" s="179"/>
      <c r="LU26" s="179"/>
      <c r="LV26" s="179"/>
      <c r="LW26" s="179"/>
      <c r="LX26" s="179"/>
      <c r="LY26" s="179"/>
      <c r="LZ26" s="179"/>
      <c r="MA26" s="179"/>
      <c r="MB26" s="179"/>
      <c r="MC26" s="179"/>
      <c r="MD26" s="179"/>
      <c r="ME26" s="179"/>
      <c r="MF26" s="179"/>
      <c r="MG26" s="179"/>
      <c r="MH26" s="179"/>
      <c r="MI26" s="179"/>
      <c r="MJ26" s="179"/>
      <c r="MK26" s="179"/>
      <c r="ML26" s="179"/>
      <c r="MM26" s="179"/>
      <c r="MN26" s="179"/>
      <c r="MO26" s="179"/>
      <c r="MP26" s="179"/>
      <c r="MQ26" s="179"/>
      <c r="MR26" s="179"/>
      <c r="MS26" s="179"/>
      <c r="MT26" s="179"/>
      <c r="MU26" s="179"/>
      <c r="MV26" s="179"/>
      <c r="MW26" s="179"/>
      <c r="MX26" s="179"/>
      <c r="MY26" s="179"/>
      <c r="MZ26" s="179"/>
      <c r="NA26" s="179"/>
      <c r="NB26" s="179"/>
      <c r="NC26" s="179"/>
      <c r="ND26" s="179"/>
      <c r="NE26" s="179"/>
      <c r="NF26" s="179"/>
      <c r="NG26" s="179"/>
      <c r="NH26" s="179"/>
      <c r="NI26" s="179"/>
      <c r="NJ26" s="179"/>
      <c r="NK26" s="179"/>
      <c r="NL26" s="179"/>
      <c r="NM26" s="179"/>
      <c r="NN26" s="179"/>
      <c r="NO26" s="179"/>
      <c r="NP26" s="179"/>
      <c r="NQ26" s="179"/>
      <c r="NR26" s="179"/>
      <c r="NS26" s="179"/>
      <c r="NT26" s="179"/>
      <c r="NU26" s="179"/>
      <c r="NV26" s="179"/>
      <c r="NW26" s="179"/>
      <c r="NX26" s="179"/>
      <c r="NY26" s="179"/>
      <c r="NZ26" s="179"/>
      <c r="OA26" s="179"/>
      <c r="OB26" s="179"/>
      <c r="OC26" s="179"/>
      <c r="OD26" s="179"/>
      <c r="OE26" s="179"/>
      <c r="OF26" s="179"/>
      <c r="OG26" s="179"/>
      <c r="OH26" s="179"/>
      <c r="OI26" s="179"/>
      <c r="OJ26" s="179"/>
      <c r="OK26" s="179"/>
      <c r="OL26" s="179"/>
      <c r="OM26" s="179"/>
      <c r="ON26" s="179"/>
      <c r="OO26" s="179"/>
      <c r="OP26" s="179"/>
      <c r="OQ26" s="179"/>
      <c r="OR26" s="179"/>
      <c r="OS26" s="179"/>
      <c r="OT26" s="179"/>
      <c r="OU26" s="179"/>
      <c r="OV26" s="179"/>
      <c r="OW26" s="179"/>
      <c r="OX26" s="179"/>
      <c r="OY26" s="179"/>
      <c r="OZ26" s="179"/>
      <c r="PA26" s="179"/>
      <c r="PB26" s="179"/>
      <c r="PC26" s="179"/>
      <c r="PD26" s="179"/>
      <c r="PE26" s="179"/>
      <c r="PF26" s="179"/>
      <c r="PG26" s="179"/>
      <c r="PH26" s="179"/>
      <c r="PI26" s="179"/>
      <c r="PJ26" s="179"/>
      <c r="PK26" s="179"/>
      <c r="PL26" s="179"/>
      <c r="PM26" s="179"/>
      <c r="PN26" s="179"/>
      <c r="PO26" s="179"/>
      <c r="PP26" s="179"/>
      <c r="PQ26" s="179"/>
      <c r="PR26" s="179"/>
      <c r="PS26" s="179"/>
      <c r="PT26" s="179"/>
      <c r="PU26" s="179"/>
      <c r="PV26" s="179"/>
      <c r="PW26" s="179"/>
      <c r="PX26" s="179"/>
      <c r="PY26" s="179"/>
      <c r="PZ26" s="179"/>
      <c r="QA26" s="179"/>
      <c r="QB26" s="179"/>
      <c r="QC26" s="179"/>
      <c r="QD26" s="179"/>
      <c r="QE26" s="179"/>
      <c r="QF26" s="179"/>
      <c r="QG26" s="179"/>
      <c r="QH26" s="179"/>
      <c r="QI26" s="179"/>
      <c r="QJ26" s="179"/>
      <c r="QK26" s="179"/>
      <c r="QL26" s="179"/>
      <c r="QM26" s="179"/>
      <c r="QN26" s="179"/>
      <c r="QO26" s="179"/>
      <c r="QP26" s="179"/>
      <c r="QQ26" s="179"/>
      <c r="QR26" s="179"/>
      <c r="QS26" s="179"/>
      <c r="QT26" s="179"/>
      <c r="QU26" s="179"/>
      <c r="QV26" s="179"/>
      <c r="QW26" s="179"/>
      <c r="QX26" s="179"/>
      <c r="QY26" s="179"/>
      <c r="QZ26" s="179"/>
      <c r="RA26" s="179"/>
      <c r="RB26" s="179"/>
      <c r="RC26" s="179"/>
      <c r="RD26" s="179"/>
      <c r="RE26" s="179"/>
      <c r="RF26" s="179"/>
      <c r="RG26" s="179"/>
      <c r="RH26" s="179"/>
      <c r="RI26" s="179"/>
      <c r="RJ26" s="179"/>
      <c r="RK26" s="179"/>
      <c r="RL26" s="179"/>
      <c r="ICU26" s="150" t="s">
        <v>181</v>
      </c>
    </row>
    <row r="27" spans="1:16381" s="125" customFormat="1" ht="121.9" customHeight="1">
      <c r="C27" s="38">
        <v>16</v>
      </c>
      <c r="D27" s="151" t="s">
        <v>182</v>
      </c>
      <c r="E27" s="152"/>
      <c r="F27" s="152"/>
      <c r="G27" s="152"/>
      <c r="H27" s="153">
        <v>5</v>
      </c>
      <c r="I27" s="153">
        <f>IF(E27="O",5,IF(F27="O",2.5,IF(G27="O",0,0)))</f>
        <v>0</v>
      </c>
      <c r="J27" s="154">
        <f t="shared" si="1"/>
        <v>0</v>
      </c>
      <c r="K27" s="204"/>
      <c r="M27" s="156">
        <v>5</v>
      </c>
      <c r="JV27" s="179"/>
      <c r="JW27" s="179"/>
      <c r="JX27" s="179"/>
      <c r="JY27" s="179"/>
      <c r="JZ27" s="179"/>
      <c r="KA27" s="179"/>
      <c r="KB27" s="179"/>
      <c r="KC27" s="179"/>
      <c r="KD27" s="179"/>
      <c r="KE27" s="179"/>
      <c r="KF27" s="179"/>
      <c r="KG27" s="179"/>
      <c r="KH27" s="179"/>
      <c r="KI27" s="179"/>
      <c r="KJ27" s="179"/>
      <c r="KK27" s="179"/>
      <c r="KL27" s="179"/>
      <c r="KM27" s="179"/>
      <c r="KN27" s="179"/>
      <c r="KO27" s="179"/>
      <c r="KP27" s="179"/>
      <c r="KQ27" s="179"/>
      <c r="KR27" s="179"/>
      <c r="KS27" s="179"/>
      <c r="KT27" s="179"/>
      <c r="KU27" s="179"/>
      <c r="KV27" s="179"/>
      <c r="KW27" s="179"/>
      <c r="KX27" s="179"/>
      <c r="KY27" s="179"/>
      <c r="KZ27" s="179"/>
      <c r="LA27" s="179"/>
      <c r="LB27" s="179"/>
      <c r="LC27" s="179"/>
      <c r="LD27" s="179"/>
      <c r="LE27" s="179"/>
      <c r="LF27" s="179"/>
      <c r="LG27" s="179"/>
      <c r="LH27" s="179"/>
      <c r="LI27" s="179"/>
      <c r="LJ27" s="179"/>
      <c r="LK27" s="179"/>
      <c r="LL27" s="179"/>
      <c r="LM27" s="179"/>
      <c r="LN27" s="179"/>
      <c r="LO27" s="179"/>
      <c r="LP27" s="179"/>
      <c r="LQ27" s="179"/>
      <c r="LR27" s="179"/>
      <c r="LS27" s="179"/>
      <c r="LT27" s="179"/>
      <c r="LU27" s="179"/>
      <c r="LV27" s="179"/>
      <c r="LW27" s="179"/>
      <c r="LX27" s="179"/>
      <c r="LY27" s="179"/>
      <c r="LZ27" s="179"/>
      <c r="MA27" s="179"/>
      <c r="MB27" s="179"/>
      <c r="MC27" s="179"/>
      <c r="MD27" s="179"/>
      <c r="ME27" s="179"/>
      <c r="MF27" s="179"/>
      <c r="MG27" s="179"/>
      <c r="MH27" s="179"/>
      <c r="MI27" s="179"/>
      <c r="MJ27" s="179"/>
      <c r="MK27" s="179"/>
      <c r="ML27" s="179"/>
      <c r="MM27" s="179"/>
      <c r="MN27" s="179"/>
      <c r="MO27" s="179"/>
      <c r="MP27" s="179"/>
      <c r="MQ27" s="179"/>
      <c r="MR27" s="179"/>
      <c r="MS27" s="179"/>
      <c r="MT27" s="179"/>
      <c r="MU27" s="179"/>
      <c r="MV27" s="179"/>
      <c r="MW27" s="179"/>
      <c r="MX27" s="179"/>
      <c r="MY27" s="179"/>
      <c r="MZ27" s="179"/>
      <c r="NA27" s="179"/>
      <c r="NB27" s="179"/>
      <c r="NC27" s="179"/>
      <c r="ND27" s="179"/>
      <c r="NE27" s="179"/>
      <c r="NF27" s="179"/>
      <c r="NG27" s="179"/>
      <c r="NH27" s="179"/>
      <c r="NI27" s="179"/>
      <c r="NJ27" s="179"/>
      <c r="NK27" s="179"/>
      <c r="NL27" s="179"/>
      <c r="NM27" s="179"/>
      <c r="NN27" s="179"/>
      <c r="NO27" s="179"/>
      <c r="NP27" s="179"/>
      <c r="NQ27" s="179"/>
      <c r="NR27" s="179"/>
      <c r="NS27" s="179"/>
      <c r="NT27" s="179"/>
      <c r="NU27" s="179"/>
      <c r="NV27" s="179"/>
      <c r="NW27" s="179"/>
      <c r="NX27" s="179"/>
      <c r="NY27" s="179"/>
      <c r="NZ27" s="179"/>
      <c r="OA27" s="179"/>
      <c r="OB27" s="179"/>
      <c r="OC27" s="179"/>
      <c r="OD27" s="179"/>
      <c r="OE27" s="179"/>
      <c r="OF27" s="179"/>
      <c r="OG27" s="179"/>
      <c r="OH27" s="179"/>
      <c r="OI27" s="179"/>
      <c r="OJ27" s="179"/>
      <c r="OK27" s="179"/>
      <c r="OL27" s="179"/>
      <c r="OM27" s="179"/>
      <c r="ON27" s="179"/>
      <c r="OO27" s="179"/>
      <c r="OP27" s="179"/>
      <c r="OQ27" s="179"/>
      <c r="OR27" s="179"/>
      <c r="OS27" s="179"/>
      <c r="OT27" s="179"/>
      <c r="OU27" s="179"/>
      <c r="OV27" s="179"/>
      <c r="OW27" s="179"/>
      <c r="OX27" s="179"/>
      <c r="OY27" s="179"/>
      <c r="OZ27" s="179"/>
      <c r="PA27" s="179"/>
      <c r="PB27" s="179"/>
      <c r="PC27" s="179"/>
      <c r="PD27" s="179"/>
      <c r="PE27" s="179"/>
      <c r="PF27" s="179"/>
      <c r="PG27" s="179"/>
      <c r="PH27" s="179"/>
      <c r="PI27" s="179"/>
      <c r="PJ27" s="179"/>
      <c r="PK27" s="179"/>
      <c r="PL27" s="179"/>
      <c r="PM27" s="179"/>
      <c r="PN27" s="179"/>
      <c r="PO27" s="179"/>
      <c r="PP27" s="179"/>
      <c r="PQ27" s="179"/>
      <c r="PR27" s="179"/>
      <c r="PS27" s="179"/>
      <c r="PT27" s="179"/>
      <c r="PU27" s="179"/>
      <c r="PV27" s="179"/>
      <c r="PW27" s="179"/>
      <c r="PX27" s="179"/>
      <c r="PY27" s="179"/>
      <c r="PZ27" s="179"/>
      <c r="QA27" s="179"/>
      <c r="QB27" s="179"/>
      <c r="QC27" s="179"/>
      <c r="QD27" s="179"/>
      <c r="QE27" s="179"/>
      <c r="QF27" s="179"/>
      <c r="QG27" s="179"/>
      <c r="QH27" s="179"/>
      <c r="QI27" s="179"/>
      <c r="QJ27" s="179"/>
      <c r="QK27" s="179"/>
      <c r="QL27" s="179"/>
      <c r="QM27" s="179"/>
      <c r="QN27" s="179"/>
      <c r="QO27" s="179"/>
      <c r="QP27" s="179"/>
      <c r="QQ27" s="179"/>
      <c r="QR27" s="179"/>
      <c r="QS27" s="179"/>
      <c r="QT27" s="179"/>
      <c r="QU27" s="179"/>
      <c r="QV27" s="179"/>
      <c r="QW27" s="179"/>
      <c r="QX27" s="179"/>
      <c r="QY27" s="179"/>
      <c r="QZ27" s="179"/>
      <c r="RA27" s="179"/>
      <c r="RB27" s="179"/>
      <c r="RC27" s="179"/>
      <c r="RD27" s="179"/>
      <c r="RE27" s="179"/>
      <c r="RF27" s="179"/>
      <c r="RG27" s="179"/>
      <c r="RH27" s="179"/>
      <c r="RI27" s="179"/>
      <c r="RJ27" s="179"/>
      <c r="RK27" s="179"/>
      <c r="RL27" s="179"/>
      <c r="ICU27" s="150" t="s">
        <v>183</v>
      </c>
    </row>
    <row r="28" spans="1:16381" s="125" customFormat="1" ht="94.15" customHeight="1">
      <c r="A28" s="125" t="s">
        <v>148</v>
      </c>
      <c r="C28" s="38">
        <v>17</v>
      </c>
      <c r="D28" s="151" t="s">
        <v>184</v>
      </c>
      <c r="E28" s="75"/>
      <c r="F28" s="75"/>
      <c r="G28" s="152"/>
      <c r="H28" s="153">
        <v>3</v>
      </c>
      <c r="I28" s="153">
        <f>IF(E28="O",3,IF(F28="O",1.5,IF(G28="O",0,0)))</f>
        <v>0</v>
      </c>
      <c r="J28" s="154">
        <f t="shared" si="1"/>
        <v>0</v>
      </c>
      <c r="K28" s="155"/>
      <c r="M28" s="156">
        <v>3</v>
      </c>
      <c r="JV28" s="179"/>
      <c r="JW28" s="179"/>
      <c r="JX28" s="179"/>
      <c r="JY28" s="179"/>
      <c r="JZ28" s="179"/>
      <c r="KA28" s="179"/>
      <c r="KB28" s="179"/>
      <c r="KC28" s="179"/>
      <c r="KD28" s="179"/>
      <c r="KE28" s="179"/>
      <c r="KF28" s="179"/>
      <c r="KG28" s="179"/>
      <c r="KH28" s="179"/>
      <c r="KI28" s="179"/>
      <c r="KJ28" s="179"/>
      <c r="KK28" s="179"/>
      <c r="KL28" s="179"/>
      <c r="KM28" s="179"/>
      <c r="KN28" s="179"/>
      <c r="KO28" s="179"/>
      <c r="KP28" s="179"/>
      <c r="KQ28" s="179"/>
      <c r="KR28" s="179"/>
      <c r="KS28" s="179"/>
      <c r="KT28" s="179"/>
      <c r="KU28" s="179"/>
      <c r="KV28" s="179"/>
      <c r="KW28" s="179"/>
      <c r="KX28" s="179"/>
      <c r="KY28" s="179"/>
      <c r="KZ28" s="179"/>
      <c r="LA28" s="179"/>
      <c r="LB28" s="179"/>
      <c r="LC28" s="179"/>
      <c r="LD28" s="179"/>
      <c r="LE28" s="179"/>
      <c r="LF28" s="179"/>
      <c r="LG28" s="179"/>
      <c r="LH28" s="179"/>
      <c r="LI28" s="179"/>
      <c r="LJ28" s="179"/>
      <c r="LK28" s="179"/>
      <c r="LL28" s="179"/>
      <c r="LM28" s="179"/>
      <c r="LN28" s="179"/>
      <c r="LO28" s="179"/>
      <c r="LP28" s="179"/>
      <c r="LQ28" s="179"/>
      <c r="LR28" s="179"/>
      <c r="LS28" s="179"/>
      <c r="LT28" s="179"/>
      <c r="LU28" s="179"/>
      <c r="LV28" s="179"/>
      <c r="LW28" s="179"/>
      <c r="LX28" s="179"/>
      <c r="LY28" s="179"/>
      <c r="LZ28" s="179"/>
      <c r="MA28" s="179"/>
      <c r="MB28" s="179"/>
      <c r="MC28" s="179"/>
      <c r="MD28" s="179"/>
      <c r="ME28" s="179"/>
      <c r="MF28" s="179"/>
      <c r="MG28" s="179"/>
      <c r="MH28" s="179"/>
      <c r="MI28" s="179"/>
      <c r="MJ28" s="179"/>
      <c r="MK28" s="179"/>
      <c r="ML28" s="179"/>
      <c r="MM28" s="179"/>
      <c r="MN28" s="179"/>
      <c r="MO28" s="179"/>
      <c r="MP28" s="179"/>
      <c r="MQ28" s="179"/>
      <c r="MR28" s="179"/>
      <c r="MS28" s="179"/>
      <c r="MT28" s="179"/>
      <c r="MU28" s="179"/>
      <c r="MV28" s="179"/>
      <c r="MW28" s="179"/>
      <c r="MX28" s="179"/>
      <c r="MY28" s="179"/>
      <c r="MZ28" s="179"/>
      <c r="NA28" s="179"/>
      <c r="NB28" s="179"/>
      <c r="NC28" s="179"/>
      <c r="ND28" s="179"/>
      <c r="NE28" s="179"/>
      <c r="NF28" s="179"/>
      <c r="NG28" s="179"/>
      <c r="NH28" s="179"/>
      <c r="NI28" s="179"/>
      <c r="NJ28" s="179"/>
      <c r="NK28" s="179"/>
      <c r="NL28" s="179"/>
      <c r="NM28" s="179"/>
      <c r="NN28" s="179"/>
      <c r="NO28" s="179"/>
      <c r="NP28" s="179"/>
      <c r="NQ28" s="179"/>
      <c r="NR28" s="179"/>
      <c r="NS28" s="179"/>
      <c r="NT28" s="179"/>
      <c r="NU28" s="179"/>
      <c r="NV28" s="179"/>
      <c r="NW28" s="179"/>
      <c r="NX28" s="179"/>
      <c r="NY28" s="179"/>
      <c r="NZ28" s="179"/>
      <c r="OA28" s="179"/>
      <c r="OB28" s="179"/>
      <c r="OC28" s="179"/>
      <c r="OD28" s="179"/>
      <c r="OE28" s="179"/>
      <c r="OF28" s="179"/>
      <c r="OG28" s="179"/>
      <c r="OH28" s="179"/>
      <c r="OI28" s="179"/>
      <c r="OJ28" s="179"/>
      <c r="OK28" s="179"/>
      <c r="OL28" s="179"/>
      <c r="OM28" s="179"/>
      <c r="ON28" s="179"/>
      <c r="OO28" s="179"/>
      <c r="OP28" s="179"/>
      <c r="OQ28" s="179"/>
      <c r="OR28" s="179"/>
      <c r="OS28" s="179"/>
      <c r="OT28" s="179"/>
      <c r="OU28" s="179"/>
      <c r="OV28" s="179"/>
      <c r="OW28" s="179"/>
      <c r="OX28" s="179"/>
      <c r="OY28" s="179"/>
      <c r="OZ28" s="179"/>
      <c r="PA28" s="179"/>
      <c r="PB28" s="179"/>
      <c r="PC28" s="179"/>
      <c r="PD28" s="179"/>
      <c r="PE28" s="179"/>
      <c r="PF28" s="179"/>
      <c r="PG28" s="179"/>
      <c r="PH28" s="179"/>
      <c r="PI28" s="179"/>
      <c r="PJ28" s="179"/>
      <c r="PK28" s="179"/>
      <c r="PL28" s="179"/>
      <c r="PM28" s="179"/>
      <c r="PN28" s="179"/>
      <c r="PO28" s="179"/>
      <c r="PP28" s="179"/>
      <c r="PQ28" s="179"/>
      <c r="PR28" s="179"/>
      <c r="PS28" s="179"/>
      <c r="PT28" s="179"/>
      <c r="PU28" s="179"/>
      <c r="PV28" s="179"/>
      <c r="PW28" s="179"/>
      <c r="PX28" s="179"/>
      <c r="PY28" s="179"/>
      <c r="PZ28" s="179"/>
      <c r="QA28" s="179"/>
      <c r="QB28" s="179"/>
      <c r="QC28" s="179"/>
      <c r="QD28" s="179"/>
      <c r="QE28" s="179"/>
      <c r="QF28" s="179"/>
      <c r="QG28" s="179"/>
      <c r="QH28" s="179"/>
      <c r="QI28" s="179"/>
      <c r="QJ28" s="179"/>
      <c r="QK28" s="179"/>
      <c r="QL28" s="179"/>
      <c r="QM28" s="179"/>
      <c r="QN28" s="179"/>
      <c r="QO28" s="179"/>
      <c r="QP28" s="179"/>
      <c r="QQ28" s="179"/>
      <c r="QR28" s="179"/>
      <c r="QS28" s="179"/>
      <c r="QT28" s="179"/>
      <c r="QU28" s="179"/>
      <c r="QV28" s="179"/>
      <c r="QW28" s="179"/>
      <c r="QX28" s="179"/>
      <c r="QY28" s="179"/>
      <c r="QZ28" s="179"/>
      <c r="RA28" s="179"/>
      <c r="RB28" s="179"/>
      <c r="RC28" s="179"/>
      <c r="RD28" s="179"/>
      <c r="RE28" s="179"/>
      <c r="RF28" s="179"/>
      <c r="RG28" s="179"/>
      <c r="RH28" s="179"/>
      <c r="RI28" s="179"/>
      <c r="RJ28" s="179"/>
      <c r="RK28" s="179"/>
      <c r="RL28" s="179"/>
      <c r="ICU28" s="150" t="s">
        <v>185</v>
      </c>
    </row>
    <row r="29" spans="1:16381" s="125" customFormat="1" ht="91.15" customHeight="1">
      <c r="C29" s="38">
        <v>18</v>
      </c>
      <c r="D29" s="151" t="s">
        <v>186</v>
      </c>
      <c r="E29" s="75"/>
      <c r="F29" s="75"/>
      <c r="G29" s="152"/>
      <c r="H29" s="153">
        <v>2</v>
      </c>
      <c r="I29" s="153">
        <f t="shared" ref="I29" si="2">IF(E29="O",2,IF(F29="O",1,IF(G29="O",0,0)))</f>
        <v>0</v>
      </c>
      <c r="J29" s="154">
        <f t="shared" si="1"/>
        <v>0</v>
      </c>
      <c r="K29" s="155"/>
      <c r="M29" s="156">
        <v>2</v>
      </c>
      <c r="JV29" s="179"/>
      <c r="JW29" s="179"/>
      <c r="JX29" s="179"/>
      <c r="JY29" s="179"/>
      <c r="JZ29" s="179"/>
      <c r="KA29" s="179"/>
      <c r="KB29" s="179"/>
      <c r="KC29" s="179"/>
      <c r="KD29" s="179"/>
      <c r="KE29" s="179"/>
      <c r="KF29" s="179"/>
      <c r="KG29" s="179"/>
      <c r="KH29" s="179"/>
      <c r="KI29" s="179"/>
      <c r="KJ29" s="179"/>
      <c r="KK29" s="179"/>
      <c r="KL29" s="179"/>
      <c r="KM29" s="179"/>
      <c r="KN29" s="179"/>
      <c r="KO29" s="179"/>
      <c r="KP29" s="179"/>
      <c r="KQ29" s="179"/>
      <c r="KR29" s="179"/>
      <c r="KS29" s="179"/>
      <c r="KT29" s="179"/>
      <c r="KU29" s="179"/>
      <c r="KV29" s="179"/>
      <c r="KW29" s="179"/>
      <c r="KX29" s="179"/>
      <c r="KY29" s="179"/>
      <c r="KZ29" s="179"/>
      <c r="LA29" s="179"/>
      <c r="LB29" s="179"/>
      <c r="LC29" s="179"/>
      <c r="LD29" s="179"/>
      <c r="LE29" s="179"/>
      <c r="LF29" s="179"/>
      <c r="LG29" s="179"/>
      <c r="LH29" s="179"/>
      <c r="LI29" s="179"/>
      <c r="LJ29" s="179"/>
      <c r="LK29" s="179"/>
      <c r="LL29" s="179"/>
      <c r="LM29" s="179"/>
      <c r="LN29" s="179"/>
      <c r="LO29" s="179"/>
      <c r="LP29" s="179"/>
      <c r="LQ29" s="179"/>
      <c r="LR29" s="179"/>
      <c r="LS29" s="179"/>
      <c r="LT29" s="179"/>
      <c r="LU29" s="179"/>
      <c r="LV29" s="179"/>
      <c r="LW29" s="179"/>
      <c r="LX29" s="179"/>
      <c r="LY29" s="179"/>
      <c r="LZ29" s="179"/>
      <c r="MA29" s="179"/>
      <c r="MB29" s="179"/>
      <c r="MC29" s="179"/>
      <c r="MD29" s="179"/>
      <c r="ME29" s="179"/>
      <c r="MF29" s="179"/>
      <c r="MG29" s="179"/>
      <c r="MH29" s="179"/>
      <c r="MI29" s="179"/>
      <c r="MJ29" s="179"/>
      <c r="MK29" s="179"/>
      <c r="ML29" s="179"/>
      <c r="MM29" s="179"/>
      <c r="MN29" s="179"/>
      <c r="MO29" s="179"/>
      <c r="MP29" s="179"/>
      <c r="MQ29" s="179"/>
      <c r="MR29" s="179"/>
      <c r="MS29" s="179"/>
      <c r="MT29" s="179"/>
      <c r="MU29" s="179"/>
      <c r="MV29" s="179"/>
      <c r="MW29" s="179"/>
      <c r="MX29" s="179"/>
      <c r="MY29" s="179"/>
      <c r="MZ29" s="179"/>
      <c r="NA29" s="179"/>
      <c r="NB29" s="179"/>
      <c r="NC29" s="179"/>
      <c r="ND29" s="179"/>
      <c r="NE29" s="179"/>
      <c r="NF29" s="179"/>
      <c r="NG29" s="179"/>
      <c r="NH29" s="179"/>
      <c r="NI29" s="179"/>
      <c r="NJ29" s="179"/>
      <c r="NK29" s="179"/>
      <c r="NL29" s="179"/>
      <c r="NM29" s="179"/>
      <c r="NN29" s="179"/>
      <c r="NO29" s="179"/>
      <c r="NP29" s="179"/>
      <c r="NQ29" s="179"/>
      <c r="NR29" s="179"/>
      <c r="NS29" s="179"/>
      <c r="NT29" s="179"/>
      <c r="NU29" s="179"/>
      <c r="NV29" s="179"/>
      <c r="NW29" s="179"/>
      <c r="NX29" s="179"/>
      <c r="NY29" s="179"/>
      <c r="NZ29" s="179"/>
      <c r="OA29" s="179"/>
      <c r="OB29" s="179"/>
      <c r="OC29" s="179"/>
      <c r="OD29" s="179"/>
      <c r="OE29" s="179"/>
      <c r="OF29" s="179"/>
      <c r="OG29" s="179"/>
      <c r="OH29" s="179"/>
      <c r="OI29" s="179"/>
      <c r="OJ29" s="179"/>
      <c r="OK29" s="179"/>
      <c r="OL29" s="179"/>
      <c r="OM29" s="179"/>
      <c r="ON29" s="179"/>
      <c r="OO29" s="179"/>
      <c r="OP29" s="179"/>
      <c r="OQ29" s="179"/>
      <c r="OR29" s="179"/>
      <c r="OS29" s="179"/>
      <c r="OT29" s="179"/>
      <c r="OU29" s="179"/>
      <c r="OV29" s="179"/>
      <c r="OW29" s="179"/>
      <c r="OX29" s="179"/>
      <c r="OY29" s="179"/>
      <c r="OZ29" s="179"/>
      <c r="PA29" s="179"/>
      <c r="PB29" s="179"/>
      <c r="PC29" s="179"/>
      <c r="PD29" s="179"/>
      <c r="PE29" s="179"/>
      <c r="PF29" s="179"/>
      <c r="PG29" s="179"/>
      <c r="PH29" s="179"/>
      <c r="PI29" s="179"/>
      <c r="PJ29" s="179"/>
      <c r="PK29" s="179"/>
      <c r="PL29" s="179"/>
      <c r="PM29" s="179"/>
      <c r="PN29" s="179"/>
      <c r="PO29" s="179"/>
      <c r="PP29" s="179"/>
      <c r="PQ29" s="179"/>
      <c r="PR29" s="179"/>
      <c r="PS29" s="179"/>
      <c r="PT29" s="179"/>
      <c r="PU29" s="179"/>
      <c r="PV29" s="179"/>
      <c r="PW29" s="179"/>
      <c r="PX29" s="179"/>
      <c r="PY29" s="179"/>
      <c r="PZ29" s="179"/>
      <c r="QA29" s="179"/>
      <c r="QB29" s="179"/>
      <c r="QC29" s="179"/>
      <c r="QD29" s="179"/>
      <c r="QE29" s="179"/>
      <c r="QF29" s="179"/>
      <c r="QG29" s="179"/>
      <c r="QH29" s="179"/>
      <c r="QI29" s="179"/>
      <c r="QJ29" s="179"/>
      <c r="QK29" s="179"/>
      <c r="QL29" s="179"/>
      <c r="QM29" s="179"/>
      <c r="QN29" s="179"/>
      <c r="QO29" s="179"/>
      <c r="QP29" s="179"/>
      <c r="QQ29" s="179"/>
      <c r="QR29" s="179"/>
      <c r="QS29" s="179"/>
      <c r="QT29" s="179"/>
      <c r="QU29" s="179"/>
      <c r="QV29" s="179"/>
      <c r="QW29" s="179"/>
      <c r="QX29" s="179"/>
      <c r="QY29" s="179"/>
      <c r="QZ29" s="179"/>
      <c r="RA29" s="179"/>
      <c r="RB29" s="179"/>
      <c r="RC29" s="179"/>
      <c r="RD29" s="179"/>
      <c r="RE29" s="179"/>
      <c r="RF29" s="179"/>
      <c r="RG29" s="179"/>
      <c r="RH29" s="179"/>
      <c r="RI29" s="179"/>
      <c r="RJ29" s="179"/>
      <c r="RK29" s="179"/>
      <c r="RL29" s="179"/>
      <c r="ICU29" s="150" t="s">
        <v>187</v>
      </c>
    </row>
    <row r="30" spans="1:16381" s="125" customFormat="1" ht="104.45" customHeight="1">
      <c r="C30" s="173">
        <v>19</v>
      </c>
      <c r="D30" s="174" t="s">
        <v>188</v>
      </c>
      <c r="E30" s="158"/>
      <c r="F30" s="158"/>
      <c r="G30" s="158"/>
      <c r="H30" s="175">
        <v>4</v>
      </c>
      <c r="I30" s="175">
        <f>IF(E30="O",4,IF(F30="O",2,IF(G30="O",0,0)))</f>
        <v>0</v>
      </c>
      <c r="J30" s="176">
        <f t="shared" si="1"/>
        <v>0</v>
      </c>
      <c r="K30" s="177" t="s">
        <v>148</v>
      </c>
      <c r="M30" s="178">
        <v>4</v>
      </c>
      <c r="JV30" s="179"/>
      <c r="JW30" s="179"/>
      <c r="JX30" s="179"/>
      <c r="JY30" s="179"/>
      <c r="JZ30" s="179"/>
      <c r="KA30" s="179"/>
      <c r="KB30" s="179"/>
      <c r="KC30" s="179"/>
      <c r="KD30" s="179"/>
      <c r="KE30" s="179"/>
      <c r="KF30" s="179"/>
      <c r="KG30" s="179"/>
      <c r="KH30" s="179"/>
      <c r="KI30" s="179"/>
      <c r="KJ30" s="179"/>
      <c r="KK30" s="179"/>
      <c r="KL30" s="179"/>
      <c r="KM30" s="179"/>
      <c r="KN30" s="179"/>
      <c r="KO30" s="179"/>
      <c r="KP30" s="179"/>
      <c r="KQ30" s="179"/>
      <c r="KR30" s="179"/>
      <c r="KS30" s="179"/>
      <c r="KT30" s="179"/>
      <c r="KU30" s="179"/>
      <c r="KV30" s="179"/>
      <c r="KW30" s="179"/>
      <c r="KX30" s="179"/>
      <c r="KY30" s="179"/>
      <c r="KZ30" s="179"/>
      <c r="LA30" s="179"/>
      <c r="LB30" s="179"/>
      <c r="LC30" s="179"/>
      <c r="LD30" s="179"/>
      <c r="LE30" s="179"/>
      <c r="LF30" s="179"/>
      <c r="LG30" s="179"/>
      <c r="LH30" s="179"/>
      <c r="LI30" s="179"/>
      <c r="LJ30" s="179"/>
      <c r="LK30" s="179"/>
      <c r="LL30" s="179"/>
      <c r="LM30" s="179"/>
      <c r="LN30" s="179"/>
      <c r="LO30" s="179"/>
      <c r="LP30" s="179"/>
      <c r="LQ30" s="179"/>
      <c r="LR30" s="179"/>
      <c r="LS30" s="179"/>
      <c r="LT30" s="179"/>
      <c r="LU30" s="179"/>
      <c r="LV30" s="179"/>
      <c r="LW30" s="179"/>
      <c r="LX30" s="179"/>
      <c r="LY30" s="179"/>
      <c r="LZ30" s="179"/>
      <c r="MA30" s="179"/>
      <c r="MB30" s="179"/>
      <c r="MC30" s="179"/>
      <c r="MD30" s="179"/>
      <c r="ME30" s="179"/>
      <c r="MF30" s="179"/>
      <c r="MG30" s="179"/>
      <c r="MH30" s="179"/>
      <c r="MI30" s="179"/>
      <c r="MJ30" s="179"/>
      <c r="MK30" s="179"/>
      <c r="ML30" s="179"/>
      <c r="MM30" s="179"/>
      <c r="MN30" s="179"/>
      <c r="MO30" s="179"/>
      <c r="MP30" s="179"/>
      <c r="MQ30" s="179"/>
      <c r="MR30" s="179"/>
      <c r="MS30" s="179"/>
      <c r="MT30" s="179"/>
      <c r="MU30" s="179"/>
      <c r="MV30" s="179"/>
      <c r="MW30" s="179"/>
      <c r="MX30" s="179"/>
      <c r="MY30" s="179"/>
      <c r="MZ30" s="179"/>
      <c r="NA30" s="179"/>
      <c r="NB30" s="179"/>
      <c r="NC30" s="179"/>
      <c r="ND30" s="179"/>
      <c r="NE30" s="179"/>
      <c r="NF30" s="179"/>
      <c r="NG30" s="179"/>
      <c r="NH30" s="179"/>
      <c r="NI30" s="179"/>
      <c r="NJ30" s="179"/>
      <c r="NK30" s="179"/>
      <c r="NL30" s="179"/>
      <c r="NM30" s="179"/>
      <c r="NN30" s="179"/>
      <c r="NO30" s="179"/>
      <c r="NP30" s="179"/>
      <c r="NQ30" s="179"/>
      <c r="NR30" s="179"/>
      <c r="NS30" s="179"/>
      <c r="NT30" s="179"/>
      <c r="NU30" s="179"/>
      <c r="NV30" s="179"/>
      <c r="NW30" s="179"/>
      <c r="NX30" s="179"/>
      <c r="NY30" s="179"/>
      <c r="NZ30" s="179"/>
      <c r="OA30" s="179"/>
      <c r="OB30" s="179"/>
      <c r="OC30" s="179"/>
      <c r="OD30" s="179"/>
      <c r="OE30" s="179"/>
      <c r="OF30" s="179"/>
      <c r="OG30" s="179"/>
      <c r="OH30" s="179"/>
      <c r="OI30" s="179"/>
      <c r="OJ30" s="179"/>
      <c r="OK30" s="179"/>
      <c r="OL30" s="179"/>
      <c r="OM30" s="179"/>
      <c r="ON30" s="179"/>
      <c r="OO30" s="179"/>
      <c r="OP30" s="179"/>
      <c r="OQ30" s="179"/>
      <c r="OR30" s="179"/>
      <c r="OS30" s="179"/>
      <c r="OT30" s="179"/>
      <c r="OU30" s="179"/>
      <c r="OV30" s="179"/>
      <c r="OW30" s="179"/>
      <c r="OX30" s="179"/>
      <c r="OY30" s="179"/>
      <c r="OZ30" s="179"/>
      <c r="PA30" s="179"/>
      <c r="PB30" s="179"/>
      <c r="PC30" s="179"/>
      <c r="PD30" s="179"/>
      <c r="PE30" s="179"/>
      <c r="PF30" s="179"/>
      <c r="PG30" s="179"/>
      <c r="PH30" s="179"/>
      <c r="PI30" s="179"/>
      <c r="PJ30" s="179"/>
      <c r="PK30" s="179"/>
      <c r="PL30" s="179"/>
      <c r="PM30" s="179"/>
      <c r="PN30" s="179"/>
      <c r="PO30" s="179"/>
      <c r="PP30" s="179"/>
      <c r="PQ30" s="179"/>
      <c r="PR30" s="179"/>
      <c r="PS30" s="179"/>
      <c r="PT30" s="179"/>
      <c r="PU30" s="179"/>
      <c r="PV30" s="179"/>
      <c r="PW30" s="179"/>
      <c r="PX30" s="179"/>
      <c r="PY30" s="179"/>
      <c r="PZ30" s="179"/>
      <c r="QA30" s="179"/>
      <c r="QB30" s="179"/>
      <c r="QC30" s="179"/>
      <c r="QD30" s="179"/>
      <c r="QE30" s="179"/>
      <c r="QF30" s="179"/>
      <c r="QG30" s="179"/>
      <c r="QH30" s="179"/>
      <c r="QI30" s="179"/>
      <c r="QJ30" s="179"/>
      <c r="QK30" s="179"/>
      <c r="QL30" s="179"/>
      <c r="QM30" s="179"/>
      <c r="QN30" s="179"/>
      <c r="QO30" s="179"/>
      <c r="QP30" s="179"/>
      <c r="QQ30" s="179"/>
      <c r="QR30" s="179"/>
      <c r="QS30" s="179"/>
      <c r="QT30" s="179"/>
      <c r="QU30" s="179"/>
      <c r="QV30" s="179"/>
      <c r="QW30" s="179"/>
      <c r="QX30" s="179"/>
      <c r="QY30" s="179"/>
      <c r="QZ30" s="179"/>
      <c r="RA30" s="179"/>
      <c r="RB30" s="179"/>
      <c r="RC30" s="179"/>
      <c r="RD30" s="179"/>
      <c r="RE30" s="179"/>
      <c r="RF30" s="179"/>
      <c r="RG30" s="179"/>
      <c r="RH30" s="179"/>
      <c r="RI30" s="179"/>
      <c r="RJ30" s="179"/>
      <c r="RK30" s="179"/>
      <c r="RL30" s="179"/>
      <c r="ICU30" s="150" t="s">
        <v>189</v>
      </c>
    </row>
    <row r="31" spans="1:16381" s="125" customFormat="1" ht="19.5" customHeight="1">
      <c r="C31" s="143"/>
      <c r="D31" s="57" t="s">
        <v>190</v>
      </c>
      <c r="E31" s="70" t="s">
        <v>145</v>
      </c>
      <c r="F31" s="58" t="s">
        <v>146</v>
      </c>
      <c r="G31" s="58" t="s">
        <v>147</v>
      </c>
      <c r="H31" s="59">
        <f>SUM(H32:H34)-COUNTIF(I32:I34,"False")*5</f>
        <v>6</v>
      </c>
      <c r="I31" s="59">
        <f>SUM(I32:I34)</f>
        <v>0</v>
      </c>
      <c r="J31" s="60">
        <f>IF(I31=0,(0),SUM(J32:J34))</f>
        <v>0</v>
      </c>
      <c r="K31" s="161"/>
      <c r="M31" s="145">
        <f>SUM(M32:M34)-COUNTIF(N32:N34,"False")*5</f>
        <v>6</v>
      </c>
      <c r="JV31" s="179"/>
      <c r="JW31" s="179"/>
      <c r="JX31" s="179"/>
      <c r="JY31" s="179"/>
      <c r="JZ31" s="179"/>
      <c r="KA31" s="179"/>
      <c r="KB31" s="179"/>
      <c r="KC31" s="179"/>
      <c r="KD31" s="179"/>
      <c r="KE31" s="179"/>
      <c r="KF31" s="179"/>
      <c r="KG31" s="179"/>
      <c r="KH31" s="179"/>
      <c r="KI31" s="179"/>
      <c r="KJ31" s="179"/>
      <c r="KK31" s="179"/>
      <c r="KL31" s="179"/>
      <c r="KM31" s="179"/>
      <c r="KN31" s="179"/>
      <c r="KO31" s="179"/>
      <c r="KP31" s="179"/>
      <c r="KQ31" s="179"/>
      <c r="KR31" s="179"/>
      <c r="KS31" s="179"/>
      <c r="KT31" s="179"/>
      <c r="KU31" s="179"/>
      <c r="KV31" s="179"/>
      <c r="KW31" s="179"/>
      <c r="KX31" s="179"/>
      <c r="KY31" s="179"/>
      <c r="KZ31" s="179"/>
      <c r="LA31" s="179"/>
      <c r="LB31" s="179"/>
      <c r="LC31" s="179"/>
      <c r="LD31" s="179"/>
      <c r="LE31" s="179"/>
      <c r="LF31" s="179"/>
      <c r="LG31" s="179"/>
      <c r="LH31" s="179"/>
      <c r="LI31" s="179"/>
      <c r="LJ31" s="179"/>
      <c r="LK31" s="179"/>
      <c r="LL31" s="179"/>
      <c r="LM31" s="179"/>
      <c r="LN31" s="179"/>
      <c r="LO31" s="179"/>
      <c r="LP31" s="179"/>
      <c r="LQ31" s="179"/>
      <c r="LR31" s="179"/>
      <c r="LS31" s="179"/>
      <c r="LT31" s="179"/>
      <c r="LU31" s="179"/>
      <c r="LV31" s="179"/>
      <c r="LW31" s="179"/>
      <c r="LX31" s="179"/>
      <c r="LY31" s="179"/>
      <c r="LZ31" s="179"/>
      <c r="MA31" s="179"/>
      <c r="MB31" s="179"/>
      <c r="MC31" s="179"/>
      <c r="MD31" s="179"/>
      <c r="ME31" s="179"/>
      <c r="MF31" s="179"/>
      <c r="MG31" s="179"/>
      <c r="MH31" s="179"/>
      <c r="MI31" s="179"/>
      <c r="MJ31" s="179"/>
      <c r="MK31" s="179"/>
      <c r="ML31" s="179"/>
      <c r="MM31" s="179"/>
      <c r="MN31" s="179"/>
      <c r="MO31" s="179"/>
      <c r="MP31" s="179"/>
      <c r="MQ31" s="179"/>
      <c r="MR31" s="179"/>
      <c r="MS31" s="179"/>
      <c r="MT31" s="179"/>
      <c r="MU31" s="179"/>
      <c r="MV31" s="179"/>
      <c r="MW31" s="179"/>
      <c r="MX31" s="179"/>
      <c r="MY31" s="179"/>
      <c r="MZ31" s="179"/>
      <c r="NA31" s="179"/>
      <c r="NB31" s="179"/>
      <c r="NC31" s="179"/>
      <c r="ND31" s="179"/>
      <c r="NE31" s="179"/>
      <c r="NF31" s="179"/>
      <c r="NG31" s="179"/>
      <c r="NH31" s="179"/>
      <c r="NI31" s="179"/>
      <c r="NJ31" s="179"/>
      <c r="NK31" s="179"/>
      <c r="NL31" s="179"/>
      <c r="NM31" s="179"/>
      <c r="NN31" s="179"/>
      <c r="NO31" s="179"/>
      <c r="NP31" s="179"/>
      <c r="NQ31" s="179"/>
      <c r="NR31" s="179"/>
      <c r="NS31" s="179"/>
      <c r="NT31" s="179"/>
      <c r="NU31" s="179"/>
      <c r="NV31" s="179"/>
      <c r="NW31" s="179"/>
      <c r="NX31" s="179"/>
      <c r="NY31" s="179"/>
      <c r="NZ31" s="179"/>
      <c r="OA31" s="179"/>
      <c r="OB31" s="179"/>
      <c r="OC31" s="179"/>
      <c r="OD31" s="179"/>
      <c r="OE31" s="179"/>
      <c r="OF31" s="179"/>
      <c r="OG31" s="179"/>
      <c r="OH31" s="179"/>
      <c r="OI31" s="179"/>
      <c r="OJ31" s="179"/>
      <c r="OK31" s="179"/>
      <c r="OL31" s="179"/>
      <c r="OM31" s="179"/>
      <c r="ON31" s="179"/>
      <c r="OO31" s="179"/>
      <c r="OP31" s="179"/>
      <c r="OQ31" s="179"/>
      <c r="OR31" s="179"/>
      <c r="OS31" s="179"/>
      <c r="OT31" s="179"/>
      <c r="OU31" s="179"/>
      <c r="OV31" s="179"/>
      <c r="OW31" s="179"/>
      <c r="OX31" s="179"/>
      <c r="OY31" s="179"/>
      <c r="OZ31" s="179"/>
      <c r="PA31" s="179"/>
      <c r="PB31" s="179"/>
      <c r="PC31" s="179"/>
      <c r="PD31" s="179"/>
      <c r="PE31" s="179"/>
      <c r="PF31" s="179"/>
      <c r="PG31" s="179"/>
      <c r="PH31" s="179"/>
      <c r="PI31" s="179"/>
      <c r="PJ31" s="179"/>
      <c r="PK31" s="179"/>
      <c r="PL31" s="179"/>
      <c r="PM31" s="179"/>
      <c r="PN31" s="179"/>
      <c r="PO31" s="179"/>
      <c r="PP31" s="179"/>
      <c r="PQ31" s="179"/>
      <c r="PR31" s="179"/>
      <c r="PS31" s="179"/>
      <c r="PT31" s="179"/>
      <c r="PU31" s="179"/>
      <c r="PV31" s="179"/>
      <c r="PW31" s="179"/>
      <c r="PX31" s="179"/>
      <c r="PY31" s="179"/>
      <c r="PZ31" s="179"/>
      <c r="QA31" s="179"/>
      <c r="QB31" s="179"/>
      <c r="QC31" s="179"/>
      <c r="QD31" s="179"/>
      <c r="QE31" s="179"/>
      <c r="QF31" s="179"/>
      <c r="QG31" s="179"/>
      <c r="QH31" s="179"/>
      <c r="QI31" s="179"/>
      <c r="QJ31" s="179"/>
      <c r="QK31" s="179"/>
      <c r="QL31" s="179"/>
      <c r="QM31" s="179"/>
      <c r="QN31" s="179"/>
      <c r="QO31" s="179"/>
      <c r="QP31" s="179"/>
      <c r="QQ31" s="179"/>
      <c r="QR31" s="179"/>
      <c r="QS31" s="179"/>
      <c r="QT31" s="179"/>
      <c r="QU31" s="179"/>
      <c r="QV31" s="179"/>
      <c r="QW31" s="179"/>
      <c r="QX31" s="179"/>
      <c r="QY31" s="179"/>
      <c r="QZ31" s="179"/>
      <c r="RA31" s="179"/>
      <c r="RB31" s="179"/>
      <c r="RC31" s="179"/>
      <c r="RD31" s="179"/>
      <c r="RE31" s="179"/>
      <c r="RF31" s="179"/>
      <c r="RG31" s="179"/>
      <c r="RH31" s="179"/>
      <c r="RI31" s="179"/>
      <c r="RJ31" s="179"/>
      <c r="RK31" s="179"/>
      <c r="RL31" s="179"/>
      <c r="ICU31" s="162"/>
    </row>
    <row r="32" spans="1:16381" s="125" customFormat="1" ht="58.5" customHeight="1">
      <c r="C32" s="95">
        <v>20</v>
      </c>
      <c r="D32" s="146" t="s">
        <v>191</v>
      </c>
      <c r="E32" s="74"/>
      <c r="F32" s="74"/>
      <c r="G32" s="147"/>
      <c r="H32" s="205">
        <v>2</v>
      </c>
      <c r="I32" s="98">
        <f>IF(E32="O",2,IF(F32="O",1,IF(G32="O",0,0)))</f>
        <v>0</v>
      </c>
      <c r="J32" s="99">
        <f>I32*100/$H$31</f>
        <v>0</v>
      </c>
      <c r="K32" s="202"/>
      <c r="M32" s="206">
        <v>2</v>
      </c>
      <c r="JV32" s="179"/>
      <c r="JW32" s="179"/>
      <c r="JX32" s="179"/>
      <c r="JY32" s="179"/>
      <c r="JZ32" s="179"/>
      <c r="KA32" s="179"/>
      <c r="KB32" s="179"/>
      <c r="KC32" s="179"/>
      <c r="KD32" s="179"/>
      <c r="KE32" s="179"/>
      <c r="KF32" s="179"/>
      <c r="KG32" s="179"/>
      <c r="KH32" s="179"/>
      <c r="KI32" s="179"/>
      <c r="KJ32" s="179"/>
      <c r="KK32" s="179"/>
      <c r="KL32" s="179"/>
      <c r="KM32" s="179"/>
      <c r="KN32" s="179"/>
      <c r="KO32" s="179"/>
      <c r="KP32" s="179"/>
      <c r="KQ32" s="179"/>
      <c r="KR32" s="179"/>
      <c r="KS32" s="179"/>
      <c r="KT32" s="179"/>
      <c r="KU32" s="179"/>
      <c r="KV32" s="179"/>
      <c r="KW32" s="179"/>
      <c r="KX32" s="179"/>
      <c r="KY32" s="179"/>
      <c r="KZ32" s="179"/>
      <c r="LA32" s="179"/>
      <c r="LB32" s="179"/>
      <c r="LC32" s="179"/>
      <c r="LD32" s="179"/>
      <c r="LE32" s="179"/>
      <c r="LF32" s="179"/>
      <c r="LG32" s="179"/>
      <c r="LH32" s="179"/>
      <c r="LI32" s="179"/>
      <c r="LJ32" s="179"/>
      <c r="LK32" s="179"/>
      <c r="LL32" s="179"/>
      <c r="LM32" s="179"/>
      <c r="LN32" s="179"/>
      <c r="LO32" s="179"/>
      <c r="LP32" s="179"/>
      <c r="LQ32" s="179"/>
      <c r="LR32" s="179"/>
      <c r="LS32" s="179"/>
      <c r="LT32" s="179"/>
      <c r="LU32" s="179"/>
      <c r="LV32" s="179"/>
      <c r="LW32" s="179"/>
      <c r="LX32" s="179"/>
      <c r="LY32" s="179"/>
      <c r="LZ32" s="179"/>
      <c r="MA32" s="179"/>
      <c r="MB32" s="179"/>
      <c r="MC32" s="179"/>
      <c r="MD32" s="179"/>
      <c r="ME32" s="179"/>
      <c r="MF32" s="179"/>
      <c r="MG32" s="179"/>
      <c r="MH32" s="179"/>
      <c r="MI32" s="179"/>
      <c r="MJ32" s="179"/>
      <c r="MK32" s="179"/>
      <c r="ML32" s="179"/>
      <c r="MM32" s="179"/>
      <c r="MN32" s="179"/>
      <c r="MO32" s="179"/>
      <c r="MP32" s="179"/>
      <c r="MQ32" s="179"/>
      <c r="MR32" s="179"/>
      <c r="MS32" s="179"/>
      <c r="MT32" s="179"/>
      <c r="MU32" s="179"/>
      <c r="MV32" s="179"/>
      <c r="MW32" s="179"/>
      <c r="MX32" s="179"/>
      <c r="MY32" s="179"/>
      <c r="MZ32" s="179"/>
      <c r="NA32" s="179"/>
      <c r="NB32" s="179"/>
      <c r="NC32" s="179"/>
      <c r="ND32" s="179"/>
      <c r="NE32" s="179"/>
      <c r="NF32" s="179"/>
      <c r="NG32" s="179"/>
      <c r="NH32" s="179"/>
      <c r="NI32" s="179"/>
      <c r="NJ32" s="179"/>
      <c r="NK32" s="179"/>
      <c r="NL32" s="179"/>
      <c r="NM32" s="179"/>
      <c r="NN32" s="179"/>
      <c r="NO32" s="179"/>
      <c r="NP32" s="179"/>
      <c r="NQ32" s="179"/>
      <c r="NR32" s="179"/>
      <c r="NS32" s="179"/>
      <c r="NT32" s="179"/>
      <c r="NU32" s="179"/>
      <c r="NV32" s="179"/>
      <c r="NW32" s="179"/>
      <c r="NX32" s="179"/>
      <c r="NY32" s="179"/>
      <c r="NZ32" s="179"/>
      <c r="OA32" s="179"/>
      <c r="OB32" s="179"/>
      <c r="OC32" s="179"/>
      <c r="OD32" s="179"/>
      <c r="OE32" s="179"/>
      <c r="OF32" s="179"/>
      <c r="OG32" s="179"/>
      <c r="OH32" s="179"/>
      <c r="OI32" s="179"/>
      <c r="OJ32" s="179"/>
      <c r="OK32" s="179"/>
      <c r="OL32" s="179"/>
      <c r="OM32" s="179"/>
      <c r="ON32" s="179"/>
      <c r="OO32" s="179"/>
      <c r="OP32" s="179"/>
      <c r="OQ32" s="179"/>
      <c r="OR32" s="179"/>
      <c r="OS32" s="179"/>
      <c r="OT32" s="179"/>
      <c r="OU32" s="179"/>
      <c r="OV32" s="179"/>
      <c r="OW32" s="179"/>
      <c r="OX32" s="179"/>
      <c r="OY32" s="179"/>
      <c r="OZ32" s="179"/>
      <c r="PA32" s="179"/>
      <c r="PB32" s="179"/>
      <c r="PC32" s="179"/>
      <c r="PD32" s="179"/>
      <c r="PE32" s="179"/>
      <c r="PF32" s="179"/>
      <c r="PG32" s="179"/>
      <c r="PH32" s="179"/>
      <c r="PI32" s="179"/>
      <c r="PJ32" s="179"/>
      <c r="PK32" s="179"/>
      <c r="PL32" s="179"/>
      <c r="PM32" s="179"/>
      <c r="PN32" s="179"/>
      <c r="PO32" s="179"/>
      <c r="PP32" s="179"/>
      <c r="PQ32" s="179"/>
      <c r="PR32" s="179"/>
      <c r="PS32" s="179"/>
      <c r="PT32" s="179"/>
      <c r="PU32" s="179"/>
      <c r="PV32" s="179"/>
      <c r="PW32" s="179"/>
      <c r="PX32" s="179"/>
      <c r="PY32" s="179"/>
      <c r="PZ32" s="179"/>
      <c r="QA32" s="179"/>
      <c r="QB32" s="179"/>
      <c r="QC32" s="179"/>
      <c r="QD32" s="179"/>
      <c r="QE32" s="179"/>
      <c r="QF32" s="179"/>
      <c r="QG32" s="179"/>
      <c r="QH32" s="179"/>
      <c r="QI32" s="179"/>
      <c r="QJ32" s="179"/>
      <c r="QK32" s="179"/>
      <c r="QL32" s="179"/>
      <c r="QM32" s="179"/>
      <c r="QN32" s="179"/>
      <c r="QO32" s="179"/>
      <c r="QP32" s="179"/>
      <c r="QQ32" s="179"/>
      <c r="QR32" s="179"/>
      <c r="QS32" s="179"/>
      <c r="QT32" s="179"/>
      <c r="QU32" s="179"/>
      <c r="QV32" s="179"/>
      <c r="QW32" s="179"/>
      <c r="QX32" s="179"/>
      <c r="QY32" s="179"/>
      <c r="QZ32" s="179"/>
      <c r="RA32" s="179"/>
      <c r="RB32" s="179"/>
      <c r="RC32" s="179"/>
      <c r="RD32" s="179"/>
      <c r="RE32" s="179"/>
      <c r="RF32" s="179"/>
      <c r="RG32" s="179"/>
      <c r="RH32" s="179"/>
      <c r="RI32" s="179"/>
      <c r="RJ32" s="179"/>
      <c r="RK32" s="179"/>
      <c r="RL32" s="179"/>
      <c r="ICU32" s="150" t="s">
        <v>192</v>
      </c>
    </row>
    <row r="33" spans="3:13 6183:6183" s="125" customFormat="1" ht="54.75" customHeight="1">
      <c r="C33" s="38">
        <v>21</v>
      </c>
      <c r="D33" s="151" t="s">
        <v>193</v>
      </c>
      <c r="E33" s="75"/>
      <c r="F33" s="75"/>
      <c r="G33" s="152"/>
      <c r="H33" s="207">
        <v>2</v>
      </c>
      <c r="I33" s="153">
        <f>IF(E33="O",2,IF(F33="O",1,IF(G33="O",0,0)))</f>
        <v>0</v>
      </c>
      <c r="J33" s="154">
        <f>I33*100/$H$31</f>
        <v>0</v>
      </c>
      <c r="K33" s="208"/>
      <c r="M33" s="209">
        <v>2</v>
      </c>
      <c r="ICU33" s="150" t="s">
        <v>194</v>
      </c>
    </row>
    <row r="34" spans="3:13 6183:6183" s="125" customFormat="1" ht="54.75" customHeight="1">
      <c r="C34" s="173">
        <v>22</v>
      </c>
      <c r="D34" s="210" t="s">
        <v>195</v>
      </c>
      <c r="E34" s="51"/>
      <c r="F34" s="51"/>
      <c r="G34" s="211"/>
      <c r="H34" s="212">
        <v>2</v>
      </c>
      <c r="I34" s="175">
        <f>IF(E34="O",2,IF(F34="O",1,IF(G34="O",0,0)))</f>
        <v>0</v>
      </c>
      <c r="J34" s="176">
        <f>I34*100/$H$31</f>
        <v>0</v>
      </c>
      <c r="K34" s="177" t="s">
        <v>148</v>
      </c>
      <c r="M34" s="213">
        <v>2</v>
      </c>
      <c r="ICU34" s="150" t="s">
        <v>196</v>
      </c>
    </row>
    <row r="35" spans="3:13 6183:6183" s="125" customFormat="1" ht="19.5" customHeight="1">
      <c r="C35" s="143"/>
      <c r="D35" s="214" t="s">
        <v>197</v>
      </c>
      <c r="E35" s="70" t="s">
        <v>145</v>
      </c>
      <c r="F35" s="58" t="s">
        <v>146</v>
      </c>
      <c r="G35" s="58" t="s">
        <v>147</v>
      </c>
      <c r="H35" s="59">
        <f>SUM(H36:H37)-COUNTIF(I36:I37,"False")*5</f>
        <v>15</v>
      </c>
      <c r="I35" s="59">
        <f>SUM(I36:I37)</f>
        <v>0</v>
      </c>
      <c r="J35" s="60">
        <f>IF(I35=0,(0),SUM(J36:J37))</f>
        <v>0</v>
      </c>
      <c r="K35" s="161"/>
      <c r="M35" s="145">
        <f>SUM(M36:M37)-COUNTIF(N36:N37,"False")*5</f>
        <v>15</v>
      </c>
      <c r="ICU35" s="162"/>
    </row>
    <row r="36" spans="3:13 6183:6183" s="125" customFormat="1" ht="357" customHeight="1">
      <c r="C36" s="95">
        <v>23</v>
      </c>
      <c r="D36" s="146" t="s">
        <v>198</v>
      </c>
      <c r="E36" s="147"/>
      <c r="F36" s="147"/>
      <c r="G36" s="147"/>
      <c r="H36" s="205">
        <v>8</v>
      </c>
      <c r="I36" s="98">
        <f>IF(E36="O",8,IF(F36="O",4,IF(G36="O",0,0)))</f>
        <v>0</v>
      </c>
      <c r="J36" s="99">
        <f>H36*100/$H$35</f>
        <v>53.333333333333336</v>
      </c>
      <c r="K36" s="202"/>
      <c r="M36" s="206">
        <v>8</v>
      </c>
      <c r="ICU36" s="150" t="s">
        <v>199</v>
      </c>
    </row>
    <row r="37" spans="3:13 6183:6183" s="125" customFormat="1" ht="145.9" customHeight="1">
      <c r="C37" s="173">
        <v>24</v>
      </c>
      <c r="D37" s="174" t="s">
        <v>200</v>
      </c>
      <c r="E37" s="182"/>
      <c r="F37" s="182"/>
      <c r="G37" s="182"/>
      <c r="H37" s="215">
        <v>7</v>
      </c>
      <c r="I37" s="175">
        <f>IF(E37="O",7,IF(F37="O",3.5,IF(G37="O",0,0)))</f>
        <v>0</v>
      </c>
      <c r="J37" s="176">
        <f>H37*100/$H$35</f>
        <v>46.666666666666664</v>
      </c>
      <c r="K37" s="216"/>
      <c r="M37" s="213">
        <v>7</v>
      </c>
      <c r="ICU37" s="150" t="s">
        <v>201</v>
      </c>
    </row>
    <row r="38" spans="3:13 6183:6183" s="125" customFormat="1" ht="19.5" customHeight="1">
      <c r="C38" s="143"/>
      <c r="D38" s="57" t="s">
        <v>202</v>
      </c>
      <c r="E38" s="70" t="s">
        <v>145</v>
      </c>
      <c r="F38" s="58" t="s">
        <v>146</v>
      </c>
      <c r="G38" s="58" t="s">
        <v>147</v>
      </c>
      <c r="H38" s="59">
        <f>SUM(H39:H39)-COUNTIF(I39:I39,"False")*5</f>
        <v>3</v>
      </c>
      <c r="I38" s="59">
        <f>SUM(I39:I39)</f>
        <v>0</v>
      </c>
      <c r="J38" s="60">
        <f>IF(I38=0,(0),SUM(J39:J39))</f>
        <v>0</v>
      </c>
      <c r="K38" s="217"/>
      <c r="M38" s="145">
        <f>SUM(M39:M39)-COUNTIF(N39:N39,"False")*5</f>
        <v>3</v>
      </c>
      <c r="ICU38" s="162"/>
    </row>
    <row r="39" spans="3:13 6183:6183" s="125" customFormat="1" ht="75.599999999999994" customHeight="1">
      <c r="C39" s="95">
        <v>25</v>
      </c>
      <c r="D39" s="218" t="s">
        <v>203</v>
      </c>
      <c r="E39" s="180"/>
      <c r="F39" s="180"/>
      <c r="G39" s="180" t="s">
        <v>148</v>
      </c>
      <c r="H39" s="219">
        <v>3</v>
      </c>
      <c r="I39" s="98">
        <f>IF(E39="O",3,IF(F39="O",1.5,IF(G39="O",0,0)))</f>
        <v>0</v>
      </c>
      <c r="J39" s="99">
        <f>I39*100/$H$38</f>
        <v>0</v>
      </c>
      <c r="K39" s="220" t="s">
        <v>148</v>
      </c>
      <c r="M39" s="166">
        <v>3</v>
      </c>
      <c r="ICU39" s="150" t="s">
        <v>204</v>
      </c>
    </row>
    <row r="40" spans="3:13 6183:6183" s="125" customFormat="1" ht="19.5" customHeight="1">
      <c r="C40" s="143"/>
      <c r="D40" s="160" t="s">
        <v>205</v>
      </c>
      <c r="E40" s="70" t="s">
        <v>145</v>
      </c>
      <c r="F40" s="58" t="s">
        <v>146</v>
      </c>
      <c r="G40" s="58" t="s">
        <v>33</v>
      </c>
      <c r="H40" s="59">
        <f>SUM(H41:H44)-COUNTIF(I41:I44,"False")*5</f>
        <v>24</v>
      </c>
      <c r="I40" s="59">
        <f>SUM(I41:I44)</f>
        <v>0</v>
      </c>
      <c r="J40" s="60">
        <f>IF(I40=0,(0),SUM(J41:J44))</f>
        <v>0</v>
      </c>
      <c r="K40" s="144"/>
      <c r="M40" s="145">
        <f>SUM(M41:M44)-COUNTIF(N41:N44,"False")*5</f>
        <v>21</v>
      </c>
      <c r="ICU40" s="162"/>
    </row>
    <row r="41" spans="3:13 6183:6183" s="125" customFormat="1" ht="90.75" customHeight="1">
      <c r="C41" s="95">
        <v>26</v>
      </c>
      <c r="D41" s="146" t="s">
        <v>206</v>
      </c>
      <c r="E41" s="152"/>
      <c r="F41" s="152"/>
      <c r="G41" s="152"/>
      <c r="H41" s="98">
        <v>7</v>
      </c>
      <c r="I41" s="98">
        <f>IF(E41="O",7,IF(F41="O",3.5,IF(G41="O",0,0)))</f>
        <v>0</v>
      </c>
      <c r="J41" s="99">
        <f>I41*100/$H$40</f>
        <v>0</v>
      </c>
      <c r="K41" s="221"/>
      <c r="M41" s="149">
        <v>4</v>
      </c>
      <c r="ICU41" s="150" t="s">
        <v>207</v>
      </c>
    </row>
    <row r="42" spans="3:13 6183:6183" s="125" customFormat="1" ht="131.25" customHeight="1">
      <c r="C42" s="38">
        <v>27</v>
      </c>
      <c r="D42" s="222" t="s">
        <v>208</v>
      </c>
      <c r="E42" s="152"/>
      <c r="F42" s="152"/>
      <c r="G42" s="152"/>
      <c r="H42" s="153">
        <v>6</v>
      </c>
      <c r="I42" s="153">
        <f>IF(E42="O",6,IF(F42="O",3,IF(G42="O",0,0)))</f>
        <v>0</v>
      </c>
      <c r="J42" s="154">
        <f>I42*100/$H$40</f>
        <v>0</v>
      </c>
      <c r="K42" s="223"/>
      <c r="M42" s="156">
        <v>6</v>
      </c>
      <c r="ICU42" s="150" t="s">
        <v>209</v>
      </c>
    </row>
    <row r="43" spans="3:13 6183:6183" s="125" customFormat="1" ht="87" customHeight="1">
      <c r="C43" s="38">
        <v>28</v>
      </c>
      <c r="D43" s="222" t="s">
        <v>210</v>
      </c>
      <c r="E43" s="152"/>
      <c r="F43" s="152"/>
      <c r="G43" s="152"/>
      <c r="H43" s="153">
        <v>3</v>
      </c>
      <c r="I43" s="153">
        <f>IF(E43="O",3,IF(F43="O",1.5,IF(G43="O",0,0)))</f>
        <v>0</v>
      </c>
      <c r="J43" s="154">
        <f>I43*100/$H$40</f>
        <v>0</v>
      </c>
      <c r="K43" s="155"/>
      <c r="M43" s="156">
        <v>3</v>
      </c>
      <c r="ICU43" s="150" t="s">
        <v>211</v>
      </c>
    </row>
    <row r="44" spans="3:13 6183:6183" s="125" customFormat="1" ht="162.6" customHeight="1">
      <c r="C44" s="173">
        <v>29</v>
      </c>
      <c r="D44" s="224" t="s">
        <v>212</v>
      </c>
      <c r="E44" s="158"/>
      <c r="F44" s="158"/>
      <c r="G44" s="158"/>
      <c r="H44" s="175">
        <v>8</v>
      </c>
      <c r="I44" s="175">
        <f>IF(E44="O",8,IF(F44="O",4,IF(G44="O",0,0)))</f>
        <v>0</v>
      </c>
      <c r="J44" s="176">
        <f>I44*100/$H$40</f>
        <v>0</v>
      </c>
      <c r="K44" s="203"/>
      <c r="M44" s="178">
        <v>8</v>
      </c>
      <c r="ICU44" s="150" t="s">
        <v>213</v>
      </c>
    </row>
    <row r="45" spans="3:13 6183:6183" s="125" customFormat="1" ht="19.5" customHeight="1">
      <c r="C45" s="143"/>
      <c r="D45" s="57" t="s">
        <v>214</v>
      </c>
      <c r="E45" s="70" t="s">
        <v>145</v>
      </c>
      <c r="F45" s="58" t="s">
        <v>94</v>
      </c>
      <c r="G45" s="58" t="s">
        <v>33</v>
      </c>
      <c r="H45" s="59">
        <f>SUM(H46:H48)-COUNTIF(I46:I48,"False")*5</f>
        <v>6</v>
      </c>
      <c r="I45" s="59">
        <f>SUM(I46:I48)</f>
        <v>0</v>
      </c>
      <c r="J45" s="60">
        <f>IF(I45=0,(0),SUM(J46:J48))</f>
        <v>0</v>
      </c>
      <c r="K45" s="144"/>
      <c r="M45" s="145">
        <f>SUM(M46:M48)-COUNTIF(N46:N48,"False")*5</f>
        <v>6</v>
      </c>
      <c r="ICU45" s="162"/>
    </row>
    <row r="46" spans="3:13 6183:6183" s="125" customFormat="1" ht="81" customHeight="1">
      <c r="C46" s="95">
        <v>30</v>
      </c>
      <c r="D46" s="146" t="s">
        <v>215</v>
      </c>
      <c r="E46" s="147"/>
      <c r="F46" s="147"/>
      <c r="G46" s="147"/>
      <c r="H46" s="225">
        <v>2</v>
      </c>
      <c r="I46" s="98">
        <f>IF(E46="O",2,IF(F46="O",1,IF(G46="O",0,0)))</f>
        <v>0</v>
      </c>
      <c r="J46" s="99">
        <f>I46*100/$H$45</f>
        <v>0</v>
      </c>
      <c r="K46" s="202"/>
      <c r="M46" s="226">
        <v>2</v>
      </c>
      <c r="ICU46" s="150" t="s">
        <v>216</v>
      </c>
    </row>
    <row r="47" spans="3:13 6183:6183" s="125" customFormat="1" ht="55.5" customHeight="1">
      <c r="C47" s="38">
        <v>31</v>
      </c>
      <c r="D47" s="151" t="s">
        <v>217</v>
      </c>
      <c r="E47" s="152"/>
      <c r="F47" s="152"/>
      <c r="G47" s="152"/>
      <c r="H47" s="227">
        <v>2</v>
      </c>
      <c r="I47" s="153">
        <f>IF(E47="O",2,IF(F47="O",1,IF(G47="O",0,0)))</f>
        <v>0</v>
      </c>
      <c r="J47" s="154">
        <f>I47*100/$H$45</f>
        <v>0</v>
      </c>
      <c r="K47" s="223"/>
      <c r="M47" s="228">
        <v>2</v>
      </c>
      <c r="ICU47" s="150" t="s">
        <v>218</v>
      </c>
    </row>
    <row r="48" spans="3:13 6183:6183" s="125" customFormat="1" ht="81.75" customHeight="1">
      <c r="C48" s="173">
        <v>32</v>
      </c>
      <c r="D48" s="174" t="s">
        <v>219</v>
      </c>
      <c r="E48" s="158"/>
      <c r="F48" s="158"/>
      <c r="G48" s="158"/>
      <c r="H48" s="229">
        <v>2</v>
      </c>
      <c r="I48" s="175">
        <f>IF(E48="O",2,IF(F48="O",1,IF(G48="O",0,0)))</f>
        <v>0</v>
      </c>
      <c r="J48" s="176">
        <f>I48*100/$H$45</f>
        <v>0</v>
      </c>
      <c r="K48" s="203"/>
      <c r="M48" s="230">
        <v>2</v>
      </c>
      <c r="ICU48" s="150" t="s">
        <v>220</v>
      </c>
    </row>
    <row r="49" spans="1:13 6183:6183" s="125" customFormat="1" ht="19.5" customHeight="1">
      <c r="C49" s="143"/>
      <c r="D49" s="57" t="s">
        <v>221</v>
      </c>
      <c r="E49" s="70" t="s">
        <v>145</v>
      </c>
      <c r="F49" s="58" t="s">
        <v>94</v>
      </c>
      <c r="G49" s="58" t="s">
        <v>147</v>
      </c>
      <c r="H49" s="59">
        <f>SUM(H50:H53)-COUNTIF(I50:I53,"False")*5</f>
        <v>14</v>
      </c>
      <c r="I49" s="59">
        <f>SUM(I50:I53)</f>
        <v>0</v>
      </c>
      <c r="J49" s="60">
        <f>IF(I49=0,(0),SUM(J50:J53))</f>
        <v>0</v>
      </c>
      <c r="K49" s="231"/>
      <c r="M49" s="145">
        <f>SUM(M50:M53)-COUNTIF(N50:N53,"False")*5</f>
        <v>14</v>
      </c>
      <c r="ICU49" s="162"/>
    </row>
    <row r="50" spans="1:13 6183:6183" s="125" customFormat="1" ht="92.45" customHeight="1">
      <c r="C50" s="95">
        <v>33</v>
      </c>
      <c r="D50" s="218" t="s">
        <v>222</v>
      </c>
      <c r="E50" s="232"/>
      <c r="F50" s="233"/>
      <c r="G50" s="234"/>
      <c r="H50" s="205">
        <v>5</v>
      </c>
      <c r="I50" s="205">
        <f>IF(E50="O",5,IF(F50="O",2.5,IF(G50="O",0,0)))</f>
        <v>0</v>
      </c>
      <c r="J50" s="235">
        <f>I50*100/$H$49</f>
        <v>0</v>
      </c>
      <c r="K50" s="236"/>
      <c r="M50" s="237">
        <v>5</v>
      </c>
      <c r="ICU50" s="150" t="s">
        <v>223</v>
      </c>
    </row>
    <row r="51" spans="1:13 6183:6183" s="125" customFormat="1" ht="84" customHeight="1">
      <c r="C51" s="38">
        <v>34</v>
      </c>
      <c r="D51" s="238" t="s">
        <v>224</v>
      </c>
      <c r="E51" s="75"/>
      <c r="F51" s="75"/>
      <c r="G51" s="239"/>
      <c r="H51" s="207">
        <v>3</v>
      </c>
      <c r="I51" s="207">
        <f>IF(E51="O",3,IF(F51="O",1.5,IF(G51="O",0,0)))</f>
        <v>0</v>
      </c>
      <c r="J51" s="240">
        <f>I51*100/$H$49</f>
        <v>0</v>
      </c>
      <c r="K51" s="208"/>
      <c r="M51" s="241">
        <v>3</v>
      </c>
      <c r="ICU51" s="150" t="s">
        <v>225</v>
      </c>
    </row>
    <row r="52" spans="1:13 6183:6183" s="125" customFormat="1" ht="100.5" customHeight="1">
      <c r="C52" s="38">
        <v>35</v>
      </c>
      <c r="D52" s="151" t="s">
        <v>226</v>
      </c>
      <c r="E52" s="242"/>
      <c r="F52" s="242"/>
      <c r="G52" s="239"/>
      <c r="H52" s="207">
        <v>4</v>
      </c>
      <c r="I52" s="207">
        <f t="shared" ref="I52" si="3">IF(E52="O",4,IF(F52="O",2,IF(G52="O",0,0)))</f>
        <v>0</v>
      </c>
      <c r="J52" s="240">
        <f>I52*100/$H$49</f>
        <v>0</v>
      </c>
      <c r="K52" s="208"/>
      <c r="M52" s="241">
        <v>4</v>
      </c>
      <c r="ICU52" s="150"/>
    </row>
    <row r="53" spans="1:13 6183:6183" s="125" customFormat="1" ht="53.25" customHeight="1">
      <c r="C53" s="173">
        <v>36</v>
      </c>
      <c r="D53" s="174" t="s">
        <v>227</v>
      </c>
      <c r="E53" s="243"/>
      <c r="F53" s="243"/>
      <c r="G53" s="244"/>
      <c r="H53" s="215">
        <v>2</v>
      </c>
      <c r="I53" s="215">
        <f>IF(E53="O",2,IF(F53="O",1,IF(G53="O",0,0)))</f>
        <v>0</v>
      </c>
      <c r="J53" s="245">
        <f>I53*100/$H$49</f>
        <v>0</v>
      </c>
      <c r="K53" s="246"/>
      <c r="M53" s="247">
        <v>2</v>
      </c>
      <c r="ICU53" s="150" t="s">
        <v>228</v>
      </c>
    </row>
    <row r="54" spans="1:13 6183:6183" s="125" customFormat="1" ht="13.5">
      <c r="A54" s="126"/>
      <c r="C54" s="143"/>
      <c r="D54" s="57" t="s">
        <v>229</v>
      </c>
      <c r="E54" s="70" t="s">
        <v>145</v>
      </c>
      <c r="F54" s="58" t="s">
        <v>146</v>
      </c>
      <c r="G54" s="58" t="s">
        <v>147</v>
      </c>
      <c r="H54" s="59">
        <f>SUM(H55:H57)-COUNTIF(I55:I57,"False")*10</f>
        <v>15</v>
      </c>
      <c r="I54" s="59">
        <f>SUM(I55:I57)</f>
        <v>0</v>
      </c>
      <c r="J54" s="60">
        <f>IF(I54=0,(0),SUM(J55:J57))</f>
        <v>0</v>
      </c>
      <c r="K54" s="161"/>
      <c r="M54" s="145">
        <f>SUM(M55:M57)-COUNTIF(N55:N57,"False")*10</f>
        <v>7</v>
      </c>
      <c r="ICU54" s="162"/>
    </row>
    <row r="55" spans="1:13 6183:6183" s="248" customFormat="1" ht="125.45" customHeight="1">
      <c r="A55" s="126"/>
      <c r="C55" s="249">
        <v>37</v>
      </c>
      <c r="D55" s="146" t="s">
        <v>230</v>
      </c>
      <c r="E55" s="169"/>
      <c r="F55" s="169"/>
      <c r="G55" s="169"/>
      <c r="H55" s="250">
        <v>5</v>
      </c>
      <c r="I55" s="219">
        <f>IF(E55="O",5,IF(F55="O",2.5,IF(G55="O",0,0)))</f>
        <v>0</v>
      </c>
      <c r="J55" s="251">
        <f>I55*100/$H$54</f>
        <v>0</v>
      </c>
      <c r="K55" s="148"/>
      <c r="M55" s="166">
        <v>2</v>
      </c>
      <c r="ICU55" s="150" t="s">
        <v>231</v>
      </c>
    </row>
    <row r="56" spans="1:13 6183:6183" s="248" customFormat="1" ht="54" customHeight="1">
      <c r="A56" s="126"/>
      <c r="C56" s="252">
        <v>38</v>
      </c>
      <c r="D56" s="151" t="s">
        <v>232</v>
      </c>
      <c r="E56" s="75"/>
      <c r="F56" s="75"/>
      <c r="G56" s="75"/>
      <c r="H56" s="253">
        <v>5</v>
      </c>
      <c r="I56" s="90">
        <f>IF(E56="O",5,IF(F56="O",2.5,IF(G56="O",0,0)))</f>
        <v>0</v>
      </c>
      <c r="J56" s="103">
        <f t="shared" ref="J56:J57" si="4">I56*100/$H$54</f>
        <v>0</v>
      </c>
      <c r="K56" s="254"/>
      <c r="M56" s="156">
        <v>2</v>
      </c>
      <c r="ICU56" s="150" t="s">
        <v>233</v>
      </c>
    </row>
    <row r="57" spans="1:13 6183:6183" s="248" customFormat="1" ht="92.25" customHeight="1" thickBot="1">
      <c r="A57" s="126"/>
      <c r="C57" s="255">
        <v>39</v>
      </c>
      <c r="D57" s="256" t="s">
        <v>234</v>
      </c>
      <c r="E57" s="109"/>
      <c r="F57" s="109"/>
      <c r="G57" s="109"/>
      <c r="H57" s="257">
        <v>5</v>
      </c>
      <c r="I57" s="110">
        <f>IF(E57="O",5,IF(F57="O",2.5,IF(G57="O",0,0)))</f>
        <v>0</v>
      </c>
      <c r="J57" s="111">
        <f t="shared" si="4"/>
        <v>0</v>
      </c>
      <c r="K57" s="258"/>
      <c r="M57" s="178">
        <v>3</v>
      </c>
      <c r="ICU57" s="150" t="s">
        <v>235</v>
      </c>
    </row>
    <row r="58" spans="1:13 6183:6183" s="113" customFormat="1" ht="20.100000000000001" customHeight="1">
      <c r="C58" s="114"/>
      <c r="E58" s="116"/>
      <c r="F58" s="116"/>
      <c r="G58" s="116"/>
      <c r="H58" s="114"/>
      <c r="I58" s="114"/>
      <c r="J58" s="114"/>
      <c r="K58" s="115"/>
      <c r="M58" s="114"/>
    </row>
    <row r="59" spans="1:13 6183:6183" s="113" customFormat="1" ht="20.100000000000001" customHeight="1">
      <c r="C59" s="114"/>
      <c r="E59" s="116"/>
      <c r="F59" s="116"/>
      <c r="G59" s="116"/>
      <c r="H59" s="114"/>
      <c r="I59" s="114"/>
      <c r="J59" s="114"/>
      <c r="K59" s="115"/>
      <c r="M59" s="114"/>
    </row>
    <row r="60" spans="1:13 6183:6183" s="113" customFormat="1" ht="20.100000000000001" customHeight="1">
      <c r="C60" s="114"/>
      <c r="E60" s="116"/>
      <c r="F60" s="116"/>
      <c r="G60" s="116"/>
      <c r="H60" s="114"/>
      <c r="I60" s="114"/>
      <c r="J60" s="114"/>
      <c r="K60" s="115"/>
      <c r="M60" s="114"/>
    </row>
    <row r="61" spans="1:13 6183:6183" s="113" customFormat="1" ht="20.100000000000001" customHeight="1">
      <c r="C61" s="114"/>
      <c r="E61" s="116"/>
      <c r="F61" s="116"/>
      <c r="G61" s="116"/>
      <c r="H61" s="114"/>
      <c r="I61" s="114"/>
      <c r="J61" s="114"/>
      <c r="K61" s="115"/>
      <c r="M61" s="114"/>
    </row>
    <row r="62" spans="1:13 6183:6183" s="113" customFormat="1" ht="20.100000000000001" customHeight="1">
      <c r="C62" s="114"/>
      <c r="E62" s="116"/>
      <c r="F62" s="116"/>
      <c r="G62" s="116"/>
      <c r="H62" s="114"/>
      <c r="I62" s="114"/>
      <c r="J62" s="114"/>
      <c r="K62" s="115"/>
      <c r="M62" s="114"/>
    </row>
    <row r="63" spans="1:13 6183:6183" s="113" customFormat="1" ht="20.100000000000001" customHeight="1">
      <c r="C63" s="114"/>
      <c r="E63" s="116"/>
      <c r="F63" s="116"/>
      <c r="G63" s="116"/>
      <c r="H63" s="114"/>
      <c r="I63" s="114"/>
      <c r="J63" s="114"/>
      <c r="K63" s="115"/>
      <c r="M63" s="114"/>
    </row>
    <row r="64" spans="1:13 6183:6183" s="113" customFormat="1" ht="20.100000000000001" customHeight="1">
      <c r="C64" s="114"/>
      <c r="E64" s="116"/>
      <c r="F64" s="116"/>
      <c r="G64" s="116"/>
      <c r="H64" s="114"/>
      <c r="I64" s="114"/>
      <c r="J64" s="114"/>
      <c r="K64" s="115"/>
      <c r="M64" s="114"/>
    </row>
    <row r="65" spans="3:13" s="113" customFormat="1" ht="20.100000000000001" customHeight="1">
      <c r="C65" s="114"/>
      <c r="E65" s="116"/>
      <c r="F65" s="116"/>
      <c r="G65" s="116"/>
      <c r="H65" s="114"/>
      <c r="I65" s="114"/>
      <c r="J65" s="114"/>
      <c r="K65" s="115"/>
      <c r="M65" s="114"/>
    </row>
    <row r="66" spans="3:13" s="113" customFormat="1" ht="20.100000000000001" customHeight="1">
      <c r="C66" s="114"/>
      <c r="E66" s="116"/>
      <c r="F66" s="116"/>
      <c r="G66" s="116"/>
      <c r="H66" s="114"/>
      <c r="I66" s="114"/>
      <c r="J66" s="114"/>
      <c r="K66" s="115"/>
      <c r="M66" s="114"/>
    </row>
    <row r="67" spans="3:13" s="113" customFormat="1" ht="20.100000000000001" customHeight="1">
      <c r="C67" s="114"/>
      <c r="E67" s="116"/>
      <c r="F67" s="116"/>
      <c r="G67" s="116"/>
      <c r="H67" s="114"/>
      <c r="I67" s="114"/>
      <c r="J67" s="114"/>
      <c r="K67" s="115"/>
      <c r="M67" s="114"/>
    </row>
    <row r="68" spans="3:13" s="113" customFormat="1" ht="20.100000000000001" customHeight="1">
      <c r="C68" s="114"/>
      <c r="E68" s="116"/>
      <c r="F68" s="116"/>
      <c r="G68" s="116"/>
      <c r="H68" s="114"/>
      <c r="I68" s="114"/>
      <c r="J68" s="114"/>
      <c r="K68" s="115"/>
      <c r="M68" s="114"/>
    </row>
    <row r="69" spans="3:13" s="113" customFormat="1" ht="20.100000000000001" customHeight="1">
      <c r="C69" s="114"/>
      <c r="E69" s="116"/>
      <c r="F69" s="116"/>
      <c r="G69" s="116"/>
      <c r="H69" s="114"/>
      <c r="I69" s="114"/>
      <c r="J69" s="114"/>
      <c r="K69" s="115"/>
      <c r="M69" s="114"/>
    </row>
    <row r="70" spans="3:13" s="113" customFormat="1" ht="20.100000000000001" customHeight="1">
      <c r="C70" s="114"/>
      <c r="E70" s="116"/>
      <c r="F70" s="116"/>
      <c r="G70" s="116"/>
      <c r="H70" s="114"/>
      <c r="I70" s="114"/>
      <c r="J70" s="114"/>
      <c r="K70" s="115"/>
      <c r="M70" s="114"/>
    </row>
    <row r="71" spans="3:13" s="113" customFormat="1" ht="20.100000000000001" customHeight="1">
      <c r="C71" s="114"/>
      <c r="E71" s="116"/>
      <c r="F71" s="116"/>
      <c r="G71" s="116"/>
      <c r="H71" s="114"/>
      <c r="I71" s="114"/>
      <c r="J71" s="114"/>
      <c r="K71" s="115"/>
      <c r="M71" s="114"/>
    </row>
    <row r="72" spans="3:13" s="113" customFormat="1" ht="20.100000000000001" customHeight="1">
      <c r="C72" s="114"/>
      <c r="E72" s="116"/>
      <c r="F72" s="116"/>
      <c r="G72" s="116"/>
      <c r="H72" s="114"/>
      <c r="I72" s="114"/>
      <c r="J72" s="114"/>
      <c r="K72" s="115"/>
      <c r="M72" s="114"/>
    </row>
    <row r="73" spans="3:13" s="113" customFormat="1" ht="20.100000000000001" customHeight="1">
      <c r="C73" s="114"/>
      <c r="E73" s="116"/>
      <c r="F73" s="116"/>
      <c r="G73" s="116"/>
      <c r="H73" s="114"/>
      <c r="I73" s="114"/>
      <c r="J73" s="114"/>
      <c r="K73" s="115"/>
      <c r="M73" s="114"/>
    </row>
    <row r="74" spans="3:13" s="113" customFormat="1" ht="20.100000000000001" customHeight="1">
      <c r="C74" s="114"/>
      <c r="E74" s="116"/>
      <c r="F74" s="116"/>
      <c r="G74" s="116"/>
      <c r="H74" s="114"/>
      <c r="I74" s="114"/>
      <c r="J74" s="114"/>
      <c r="K74" s="115"/>
      <c r="M74" s="114"/>
    </row>
    <row r="75" spans="3:13" s="113" customFormat="1" ht="20.100000000000001" customHeight="1">
      <c r="C75" s="114"/>
      <c r="E75" s="116"/>
      <c r="F75" s="116"/>
      <c r="G75" s="116"/>
      <c r="H75" s="114"/>
      <c r="I75" s="114"/>
      <c r="J75" s="114"/>
      <c r="K75" s="115"/>
      <c r="M75" s="114"/>
    </row>
    <row r="76" spans="3:13" s="113" customFormat="1" ht="20.100000000000001" customHeight="1">
      <c r="C76" s="114"/>
      <c r="E76" s="116"/>
      <c r="F76" s="116"/>
      <c r="G76" s="116"/>
      <c r="H76" s="114"/>
      <c r="I76" s="114"/>
      <c r="J76" s="114"/>
      <c r="K76" s="115"/>
      <c r="M76" s="114"/>
    </row>
    <row r="77" spans="3:13" s="113" customFormat="1" ht="20.100000000000001" customHeight="1">
      <c r="C77" s="114"/>
      <c r="E77" s="116"/>
      <c r="F77" s="116"/>
      <c r="G77" s="116"/>
      <c r="H77" s="114"/>
      <c r="I77" s="114"/>
      <c r="J77" s="114"/>
      <c r="K77" s="115"/>
      <c r="M77" s="114"/>
    </row>
    <row r="78" spans="3:13" s="113" customFormat="1" ht="20.100000000000001" customHeight="1">
      <c r="C78" s="114"/>
      <c r="E78" s="116"/>
      <c r="F78" s="116"/>
      <c r="G78" s="116"/>
      <c r="H78" s="114"/>
      <c r="I78" s="114"/>
      <c r="J78" s="114"/>
      <c r="K78" s="115"/>
      <c r="M78" s="114"/>
    </row>
    <row r="79" spans="3:13" s="113" customFormat="1" ht="20.100000000000001" customHeight="1">
      <c r="C79" s="114"/>
      <c r="E79" s="116"/>
      <c r="F79" s="116"/>
      <c r="G79" s="116"/>
      <c r="H79" s="114"/>
      <c r="I79" s="114"/>
      <c r="J79" s="114"/>
      <c r="K79" s="115"/>
      <c r="M79" s="114"/>
    </row>
    <row r="80" spans="3:13" s="113" customFormat="1" ht="20.100000000000001" customHeight="1">
      <c r="C80" s="114"/>
      <c r="E80" s="116"/>
      <c r="F80" s="116"/>
      <c r="G80" s="116"/>
      <c r="H80" s="114"/>
      <c r="I80" s="114"/>
      <c r="J80" s="114"/>
      <c r="K80" s="115"/>
      <c r="M80" s="114"/>
    </row>
    <row r="81" spans="3:13" s="113" customFormat="1" ht="20.100000000000001" customHeight="1">
      <c r="C81" s="114"/>
      <c r="E81" s="116"/>
      <c r="F81" s="116"/>
      <c r="G81" s="116"/>
      <c r="H81" s="114"/>
      <c r="I81" s="114"/>
      <c r="J81" s="114"/>
      <c r="K81" s="115"/>
      <c r="M81" s="114"/>
    </row>
    <row r="82" spans="3:13" s="113" customFormat="1" ht="20.100000000000001" customHeight="1">
      <c r="C82" s="114"/>
      <c r="E82" s="116"/>
      <c r="F82" s="116"/>
      <c r="G82" s="116"/>
      <c r="H82" s="114"/>
      <c r="I82" s="114"/>
      <c r="J82" s="114"/>
      <c r="K82" s="115"/>
      <c r="M82" s="114"/>
    </row>
    <row r="83" spans="3:13" s="113" customFormat="1" ht="20.100000000000001" customHeight="1">
      <c r="C83" s="114"/>
      <c r="E83" s="116"/>
      <c r="F83" s="116"/>
      <c r="G83" s="116"/>
      <c r="H83" s="114"/>
      <c r="I83" s="114"/>
      <c r="J83" s="114"/>
      <c r="K83" s="115"/>
      <c r="M83" s="114"/>
    </row>
    <row r="84" spans="3:13" s="113" customFormat="1" ht="20.100000000000001" customHeight="1">
      <c r="C84" s="114"/>
      <c r="E84" s="116"/>
      <c r="F84" s="116"/>
      <c r="G84" s="116"/>
      <c r="H84" s="114"/>
      <c r="I84" s="114"/>
      <c r="J84" s="114"/>
      <c r="K84" s="115"/>
      <c r="M84" s="114"/>
    </row>
    <row r="85" spans="3:13" s="113" customFormat="1" ht="20.100000000000001" customHeight="1">
      <c r="C85" s="114"/>
      <c r="E85" s="116"/>
      <c r="F85" s="116"/>
      <c r="G85" s="116"/>
      <c r="H85" s="114"/>
      <c r="I85" s="114"/>
      <c r="J85" s="114"/>
      <c r="K85" s="115"/>
      <c r="M85" s="114"/>
    </row>
    <row r="86" spans="3:13" s="113" customFormat="1" ht="20.100000000000001" customHeight="1">
      <c r="C86" s="114"/>
      <c r="E86" s="116"/>
      <c r="F86" s="116"/>
      <c r="G86" s="116"/>
      <c r="H86" s="114"/>
      <c r="I86" s="114"/>
      <c r="J86" s="114"/>
      <c r="K86" s="115"/>
      <c r="M86" s="114"/>
    </row>
    <row r="87" spans="3:13" s="113" customFormat="1" ht="20.100000000000001" customHeight="1">
      <c r="C87" s="114"/>
      <c r="E87" s="116"/>
      <c r="F87" s="116"/>
      <c r="G87" s="116"/>
      <c r="H87" s="114"/>
      <c r="I87" s="114"/>
      <c r="J87" s="114"/>
      <c r="K87" s="115"/>
      <c r="M87" s="114"/>
    </row>
    <row r="88" spans="3:13" s="113" customFormat="1" ht="20.100000000000001" customHeight="1">
      <c r="C88" s="114"/>
      <c r="E88" s="116"/>
      <c r="F88" s="116"/>
      <c r="G88" s="116"/>
      <c r="H88" s="114"/>
      <c r="I88" s="114"/>
      <c r="J88" s="114"/>
      <c r="K88" s="115"/>
      <c r="M88" s="114"/>
    </row>
    <row r="89" spans="3:13" s="113" customFormat="1" ht="20.100000000000001" customHeight="1">
      <c r="C89" s="114"/>
      <c r="E89" s="116"/>
      <c r="F89" s="116"/>
      <c r="G89" s="116"/>
      <c r="H89" s="114"/>
      <c r="I89" s="114"/>
      <c r="J89" s="114"/>
      <c r="K89" s="115"/>
      <c r="M89" s="114"/>
    </row>
    <row r="90" spans="3:13" s="113" customFormat="1" ht="20.100000000000001" customHeight="1">
      <c r="C90" s="114"/>
      <c r="E90" s="116"/>
      <c r="F90" s="116"/>
      <c r="G90" s="116"/>
      <c r="H90" s="114"/>
      <c r="I90" s="114"/>
      <c r="J90" s="114"/>
      <c r="K90" s="115"/>
      <c r="M90" s="114"/>
    </row>
    <row r="91" spans="3:13" s="113" customFormat="1" ht="20.100000000000001" customHeight="1">
      <c r="C91" s="114"/>
      <c r="E91" s="116"/>
      <c r="F91" s="116"/>
      <c r="G91" s="116"/>
      <c r="H91" s="114"/>
      <c r="I91" s="114"/>
      <c r="J91" s="114"/>
      <c r="K91" s="115"/>
      <c r="M91" s="114"/>
    </row>
    <row r="92" spans="3:13" s="113" customFormat="1" ht="20.100000000000001" customHeight="1">
      <c r="C92" s="114"/>
      <c r="E92" s="116"/>
      <c r="F92" s="116"/>
      <c r="G92" s="116"/>
      <c r="H92" s="114"/>
      <c r="I92" s="114"/>
      <c r="J92" s="114"/>
      <c r="K92" s="115"/>
      <c r="M92" s="114"/>
    </row>
    <row r="93" spans="3:13" s="113" customFormat="1" ht="20.100000000000001" customHeight="1">
      <c r="C93" s="114"/>
      <c r="E93" s="116"/>
      <c r="F93" s="116"/>
      <c r="G93" s="116"/>
      <c r="H93" s="114"/>
      <c r="I93" s="114"/>
      <c r="J93" s="114"/>
      <c r="K93" s="115"/>
      <c r="M93" s="114"/>
    </row>
    <row r="94" spans="3:13" s="113" customFormat="1" ht="20.100000000000001" customHeight="1">
      <c r="C94" s="114"/>
      <c r="E94" s="116"/>
      <c r="F94" s="116"/>
      <c r="G94" s="116"/>
      <c r="H94" s="114"/>
      <c r="I94" s="114"/>
      <c r="J94" s="114"/>
      <c r="K94" s="115"/>
      <c r="M94" s="114"/>
    </row>
    <row r="95" spans="3:13" s="113" customFormat="1" ht="20.100000000000001" customHeight="1">
      <c r="C95" s="114"/>
      <c r="E95" s="116"/>
      <c r="F95" s="116"/>
      <c r="G95" s="116"/>
      <c r="H95" s="114"/>
      <c r="I95" s="114"/>
      <c r="J95" s="114"/>
      <c r="K95" s="115"/>
      <c r="M95" s="114"/>
    </row>
    <row r="96" spans="3:13" s="113" customFormat="1" ht="20.100000000000001" customHeight="1">
      <c r="C96" s="114"/>
      <c r="E96" s="116"/>
      <c r="F96" s="116"/>
      <c r="G96" s="116"/>
      <c r="H96" s="114"/>
      <c r="I96" s="114"/>
      <c r="J96" s="114"/>
      <c r="K96" s="115"/>
      <c r="M96" s="114"/>
    </row>
    <row r="97" spans="3:13" s="113" customFormat="1" ht="20.100000000000001" customHeight="1">
      <c r="C97" s="114"/>
      <c r="E97" s="116"/>
      <c r="F97" s="116"/>
      <c r="G97" s="116"/>
      <c r="H97" s="114"/>
      <c r="I97" s="114"/>
      <c r="J97" s="114"/>
      <c r="K97" s="115"/>
      <c r="M97" s="114"/>
    </row>
    <row r="98" spans="3:13" s="113" customFormat="1" ht="20.100000000000001" customHeight="1">
      <c r="C98" s="114"/>
      <c r="E98" s="116"/>
      <c r="F98" s="116"/>
      <c r="G98" s="116"/>
      <c r="H98" s="114"/>
      <c r="I98" s="114"/>
      <c r="J98" s="114"/>
      <c r="K98" s="115"/>
      <c r="M98" s="114"/>
    </row>
    <row r="99" spans="3:13" s="113" customFormat="1" ht="20.100000000000001" customHeight="1">
      <c r="C99" s="114"/>
      <c r="E99" s="116"/>
      <c r="F99" s="116"/>
      <c r="G99" s="116"/>
      <c r="H99" s="114"/>
      <c r="I99" s="114"/>
      <c r="J99" s="114"/>
      <c r="K99" s="115"/>
      <c r="M99" s="114"/>
    </row>
    <row r="100" spans="3:13" s="113" customFormat="1" ht="20.100000000000001" customHeight="1">
      <c r="C100" s="114"/>
      <c r="E100" s="116"/>
      <c r="F100" s="116"/>
      <c r="G100" s="116"/>
      <c r="H100" s="114"/>
      <c r="I100" s="114"/>
      <c r="J100" s="114"/>
      <c r="K100" s="115"/>
      <c r="M100" s="114"/>
    </row>
    <row r="101" spans="3:13" s="113" customFormat="1" ht="20.100000000000001" customHeight="1">
      <c r="C101" s="114"/>
      <c r="E101" s="116"/>
      <c r="F101" s="116"/>
      <c r="G101" s="116"/>
      <c r="H101" s="114"/>
      <c r="I101" s="114"/>
      <c r="J101" s="114"/>
      <c r="K101" s="115"/>
      <c r="M101" s="114"/>
    </row>
    <row r="102" spans="3:13" s="113" customFormat="1" ht="20.100000000000001" customHeight="1">
      <c r="C102" s="114"/>
      <c r="E102" s="116"/>
      <c r="F102" s="116"/>
      <c r="G102" s="116"/>
      <c r="H102" s="114"/>
      <c r="I102" s="114"/>
      <c r="J102" s="114"/>
      <c r="K102" s="115"/>
      <c r="M102" s="114"/>
    </row>
    <row r="103" spans="3:13" s="113" customFormat="1" ht="20.100000000000001" customHeight="1">
      <c r="C103" s="114"/>
      <c r="E103" s="116"/>
      <c r="F103" s="116"/>
      <c r="G103" s="116"/>
      <c r="H103" s="114"/>
      <c r="I103" s="114"/>
      <c r="J103" s="114"/>
      <c r="K103" s="115"/>
      <c r="M103" s="114"/>
    </row>
    <row r="104" spans="3:13" s="113" customFormat="1" ht="20.100000000000001" customHeight="1">
      <c r="C104" s="114"/>
      <c r="E104" s="116"/>
      <c r="F104" s="116"/>
      <c r="G104" s="116"/>
      <c r="H104" s="114"/>
      <c r="I104" s="114"/>
      <c r="J104" s="114"/>
      <c r="K104" s="115"/>
      <c r="M104" s="114"/>
    </row>
    <row r="105" spans="3:13" s="113" customFormat="1" ht="20.100000000000001" customHeight="1">
      <c r="C105" s="114"/>
      <c r="E105" s="116"/>
      <c r="F105" s="116"/>
      <c r="G105" s="116"/>
      <c r="H105" s="114"/>
      <c r="I105" s="114"/>
      <c r="J105" s="114"/>
      <c r="K105" s="115"/>
      <c r="M105" s="114"/>
    </row>
    <row r="106" spans="3:13" s="113" customFormat="1" ht="20.100000000000001" customHeight="1">
      <c r="C106" s="114"/>
      <c r="E106" s="116"/>
      <c r="F106" s="116"/>
      <c r="G106" s="116"/>
      <c r="H106" s="114"/>
      <c r="I106" s="114"/>
      <c r="J106" s="114"/>
      <c r="K106" s="115"/>
      <c r="M106" s="114"/>
    </row>
    <row r="107" spans="3:13" s="113" customFormat="1" ht="20.100000000000001" customHeight="1">
      <c r="C107" s="114"/>
      <c r="E107" s="116"/>
      <c r="F107" s="116"/>
      <c r="G107" s="116"/>
      <c r="H107" s="114"/>
      <c r="I107" s="114"/>
      <c r="J107" s="114"/>
      <c r="K107" s="115"/>
      <c r="M107" s="114"/>
    </row>
    <row r="108" spans="3:13" s="113" customFormat="1" ht="20.100000000000001" customHeight="1">
      <c r="C108" s="114"/>
      <c r="E108" s="116"/>
      <c r="F108" s="116"/>
      <c r="G108" s="116"/>
      <c r="H108" s="114"/>
      <c r="I108" s="114"/>
      <c r="J108" s="114"/>
      <c r="K108" s="115"/>
      <c r="M108" s="114"/>
    </row>
    <row r="109" spans="3:13" s="113" customFormat="1" ht="20.100000000000001" customHeight="1">
      <c r="C109" s="114"/>
      <c r="E109" s="116"/>
      <c r="F109" s="116"/>
      <c r="G109" s="116"/>
      <c r="H109" s="114"/>
      <c r="I109" s="114"/>
      <c r="J109" s="114"/>
      <c r="K109" s="115"/>
      <c r="M109" s="114"/>
    </row>
    <row r="110" spans="3:13" s="113" customFormat="1" ht="20.100000000000001" customHeight="1">
      <c r="C110" s="114"/>
      <c r="E110" s="116"/>
      <c r="F110" s="116"/>
      <c r="G110" s="116"/>
      <c r="H110" s="114"/>
      <c r="I110" s="114"/>
      <c r="J110" s="114"/>
      <c r="K110" s="115"/>
      <c r="M110" s="114"/>
    </row>
    <row r="111" spans="3:13" s="113" customFormat="1" ht="20.100000000000001" customHeight="1">
      <c r="C111" s="114"/>
      <c r="E111" s="116"/>
      <c r="F111" s="116"/>
      <c r="G111" s="116"/>
      <c r="H111" s="114"/>
      <c r="I111" s="114"/>
      <c r="J111" s="114"/>
      <c r="K111" s="115"/>
      <c r="M111" s="114"/>
    </row>
    <row r="112" spans="3:13" s="113" customFormat="1" ht="20.100000000000001" customHeight="1">
      <c r="C112" s="114"/>
      <c r="E112" s="116"/>
      <c r="F112" s="116"/>
      <c r="G112" s="116"/>
      <c r="H112" s="114"/>
      <c r="I112" s="114"/>
      <c r="J112" s="114"/>
      <c r="K112" s="115"/>
      <c r="M112" s="114"/>
    </row>
    <row r="113" spans="3:13" s="113" customFormat="1" ht="20.100000000000001" customHeight="1">
      <c r="C113" s="114"/>
      <c r="E113" s="116"/>
      <c r="F113" s="116"/>
      <c r="G113" s="116"/>
      <c r="H113" s="114"/>
      <c r="I113" s="114"/>
      <c r="J113" s="114"/>
      <c r="K113" s="115"/>
      <c r="M113" s="114"/>
    </row>
    <row r="114" spans="3:13" s="113" customFormat="1" ht="20.100000000000001" customHeight="1">
      <c r="C114" s="114"/>
      <c r="E114" s="116"/>
      <c r="F114" s="116"/>
      <c r="G114" s="116"/>
      <c r="H114" s="114"/>
      <c r="I114" s="114"/>
      <c r="J114" s="114"/>
      <c r="K114" s="115"/>
      <c r="M114" s="114"/>
    </row>
    <row r="115" spans="3:13" s="113" customFormat="1" ht="20.100000000000001" customHeight="1">
      <c r="C115" s="114"/>
      <c r="E115" s="116"/>
      <c r="F115" s="116"/>
      <c r="G115" s="116"/>
      <c r="H115" s="114"/>
      <c r="I115" s="114"/>
      <c r="J115" s="114"/>
      <c r="K115" s="115"/>
      <c r="M115" s="114"/>
    </row>
    <row r="116" spans="3:13" s="113" customFormat="1" ht="20.100000000000001" customHeight="1">
      <c r="C116" s="114"/>
      <c r="E116" s="116"/>
      <c r="F116" s="116"/>
      <c r="G116" s="116"/>
      <c r="H116" s="114"/>
      <c r="I116" s="114"/>
      <c r="J116" s="114"/>
      <c r="K116" s="115"/>
      <c r="M116" s="114"/>
    </row>
    <row r="117" spans="3:13" s="113" customFormat="1" ht="20.100000000000001" customHeight="1">
      <c r="C117" s="114"/>
      <c r="E117" s="116"/>
      <c r="F117" s="116"/>
      <c r="G117" s="116"/>
      <c r="H117" s="114"/>
      <c r="I117" s="114"/>
      <c r="J117" s="114"/>
      <c r="K117" s="115"/>
      <c r="M117" s="114"/>
    </row>
    <row r="118" spans="3:13" s="113" customFormat="1" ht="20.100000000000001" customHeight="1">
      <c r="C118" s="114"/>
      <c r="E118" s="116"/>
      <c r="F118" s="116"/>
      <c r="G118" s="116"/>
      <c r="H118" s="114"/>
      <c r="I118" s="114"/>
      <c r="J118" s="114"/>
      <c r="K118" s="115"/>
      <c r="M118" s="114"/>
    </row>
    <row r="119" spans="3:13" s="113" customFormat="1" ht="20.100000000000001" customHeight="1">
      <c r="C119" s="114"/>
      <c r="E119" s="116"/>
      <c r="F119" s="116"/>
      <c r="G119" s="116"/>
      <c r="H119" s="114"/>
      <c r="I119" s="114"/>
      <c r="J119" s="114"/>
      <c r="K119" s="115"/>
      <c r="M119" s="114"/>
    </row>
    <row r="120" spans="3:13" s="113" customFormat="1" ht="20.100000000000001" customHeight="1">
      <c r="C120" s="114"/>
      <c r="E120" s="116"/>
      <c r="F120" s="116"/>
      <c r="G120" s="116"/>
      <c r="H120" s="114"/>
      <c r="I120" s="114"/>
      <c r="J120" s="114"/>
      <c r="K120" s="115"/>
      <c r="M120" s="114"/>
    </row>
    <row r="121" spans="3:13" s="113" customFormat="1" ht="20.100000000000001" customHeight="1">
      <c r="C121" s="114"/>
      <c r="E121" s="116"/>
      <c r="F121" s="116"/>
      <c r="G121" s="116"/>
      <c r="H121" s="114"/>
      <c r="I121" s="114"/>
      <c r="J121" s="114"/>
      <c r="K121" s="115"/>
      <c r="M121" s="114"/>
    </row>
    <row r="122" spans="3:13" s="113" customFormat="1" ht="20.100000000000001" customHeight="1">
      <c r="C122" s="114"/>
      <c r="E122" s="116"/>
      <c r="F122" s="116"/>
      <c r="G122" s="116"/>
      <c r="H122" s="114"/>
      <c r="I122" s="114"/>
      <c r="J122" s="114"/>
      <c r="K122" s="115"/>
      <c r="M122" s="114"/>
    </row>
    <row r="123" spans="3:13" s="113" customFormat="1" ht="20.100000000000001" customHeight="1">
      <c r="C123" s="114"/>
      <c r="E123" s="116"/>
      <c r="F123" s="116"/>
      <c r="G123" s="116"/>
      <c r="H123" s="114"/>
      <c r="I123" s="114"/>
      <c r="J123" s="114"/>
      <c r="K123" s="115"/>
      <c r="M123" s="114"/>
    </row>
    <row r="124" spans="3:13" s="113" customFormat="1" ht="20.100000000000001" customHeight="1">
      <c r="C124" s="114"/>
      <c r="E124" s="116"/>
      <c r="F124" s="116"/>
      <c r="G124" s="116"/>
      <c r="H124" s="114"/>
      <c r="I124" s="114"/>
      <c r="J124" s="114"/>
      <c r="K124" s="115"/>
      <c r="M124" s="114"/>
    </row>
    <row r="125" spans="3:13" s="113" customFormat="1" ht="20.100000000000001" customHeight="1">
      <c r="C125" s="114"/>
      <c r="E125" s="116"/>
      <c r="F125" s="116"/>
      <c r="G125" s="116"/>
      <c r="H125" s="114"/>
      <c r="I125" s="114"/>
      <c r="J125" s="114"/>
      <c r="K125" s="115"/>
      <c r="M125" s="114"/>
    </row>
    <row r="126" spans="3:13" s="113" customFormat="1" ht="20.100000000000001" customHeight="1">
      <c r="C126" s="114"/>
      <c r="E126" s="116"/>
      <c r="F126" s="116"/>
      <c r="G126" s="116"/>
      <c r="H126" s="114"/>
      <c r="I126" s="114"/>
      <c r="J126" s="114"/>
      <c r="K126" s="115"/>
      <c r="M126" s="114"/>
    </row>
    <row r="127" spans="3:13" s="113" customFormat="1" ht="20.100000000000001" customHeight="1">
      <c r="C127" s="114"/>
      <c r="E127" s="116"/>
      <c r="F127" s="116"/>
      <c r="G127" s="116"/>
      <c r="H127" s="114"/>
      <c r="I127" s="114"/>
      <c r="J127" s="114"/>
      <c r="K127" s="115"/>
      <c r="M127" s="114"/>
    </row>
    <row r="128" spans="3:13" s="113" customFormat="1" ht="20.100000000000001" customHeight="1">
      <c r="C128" s="114"/>
      <c r="E128" s="116"/>
      <c r="F128" s="116"/>
      <c r="G128" s="116"/>
      <c r="H128" s="114"/>
      <c r="I128" s="114"/>
      <c r="J128" s="114"/>
      <c r="K128" s="115"/>
      <c r="M128" s="114"/>
    </row>
    <row r="129" spans="3:13" s="113" customFormat="1" ht="20.100000000000001" customHeight="1">
      <c r="C129" s="114"/>
      <c r="E129" s="116"/>
      <c r="F129" s="116"/>
      <c r="G129" s="116"/>
      <c r="H129" s="114"/>
      <c r="I129" s="114"/>
      <c r="J129" s="114"/>
      <c r="K129" s="115"/>
      <c r="M129" s="114"/>
    </row>
    <row r="130" spans="3:13" s="113" customFormat="1" ht="20.100000000000001" customHeight="1">
      <c r="C130" s="114"/>
      <c r="E130" s="116"/>
      <c r="F130" s="116"/>
      <c r="G130" s="116"/>
      <c r="H130" s="114"/>
      <c r="I130" s="114"/>
      <c r="J130" s="114"/>
      <c r="K130" s="115"/>
      <c r="M130" s="114"/>
    </row>
    <row r="131" spans="3:13" s="113" customFormat="1" ht="20.100000000000001" customHeight="1">
      <c r="C131" s="114"/>
      <c r="E131" s="116"/>
      <c r="F131" s="116"/>
      <c r="G131" s="116"/>
      <c r="H131" s="114"/>
      <c r="I131" s="114"/>
      <c r="J131" s="114"/>
      <c r="K131" s="115"/>
      <c r="M131" s="114"/>
    </row>
    <row r="132" spans="3:13" s="113" customFormat="1" ht="20.100000000000001" customHeight="1">
      <c r="C132" s="114"/>
      <c r="E132" s="116"/>
      <c r="F132" s="116"/>
      <c r="G132" s="116"/>
      <c r="H132" s="114"/>
      <c r="I132" s="114"/>
      <c r="J132" s="114"/>
      <c r="K132" s="115"/>
      <c r="M132" s="114"/>
    </row>
    <row r="133" spans="3:13" s="113" customFormat="1" ht="20.100000000000001" customHeight="1">
      <c r="C133" s="114"/>
      <c r="E133" s="116"/>
      <c r="F133" s="116"/>
      <c r="G133" s="116"/>
      <c r="H133" s="114"/>
      <c r="I133" s="114"/>
      <c r="J133" s="114"/>
      <c r="K133" s="115"/>
      <c r="M133" s="114"/>
    </row>
    <row r="134" spans="3:13" s="113" customFormat="1" ht="20.100000000000001" customHeight="1">
      <c r="C134" s="114"/>
      <c r="E134" s="116"/>
      <c r="F134" s="116"/>
      <c r="G134" s="116"/>
      <c r="H134" s="114"/>
      <c r="I134" s="114"/>
      <c r="J134" s="114"/>
      <c r="K134" s="115"/>
      <c r="M134" s="114"/>
    </row>
    <row r="135" spans="3:13" s="113" customFormat="1" ht="20.100000000000001" customHeight="1">
      <c r="C135" s="114"/>
      <c r="E135" s="116"/>
      <c r="F135" s="116"/>
      <c r="G135" s="116"/>
      <c r="H135" s="114"/>
      <c r="I135" s="114"/>
      <c r="J135" s="114"/>
      <c r="K135" s="115"/>
      <c r="M135" s="114"/>
    </row>
    <row r="136" spans="3:13" s="113" customFormat="1" ht="20.100000000000001" customHeight="1">
      <c r="C136" s="114"/>
      <c r="E136" s="116"/>
      <c r="F136" s="116"/>
      <c r="G136" s="116"/>
      <c r="H136" s="114"/>
      <c r="I136" s="114"/>
      <c r="J136" s="114"/>
      <c r="K136" s="115"/>
      <c r="M136" s="114"/>
    </row>
    <row r="137" spans="3:13" s="113" customFormat="1" ht="20.100000000000001" customHeight="1">
      <c r="C137" s="114"/>
      <c r="E137" s="116"/>
      <c r="F137" s="116"/>
      <c r="G137" s="116"/>
      <c r="H137" s="114"/>
      <c r="I137" s="114"/>
      <c r="J137" s="114"/>
      <c r="K137" s="115"/>
      <c r="M137" s="114"/>
    </row>
    <row r="138" spans="3:13" s="113" customFormat="1" ht="20.100000000000001" customHeight="1">
      <c r="C138" s="114"/>
      <c r="E138" s="116"/>
      <c r="F138" s="116"/>
      <c r="G138" s="116"/>
      <c r="H138" s="114"/>
      <c r="I138" s="114"/>
      <c r="J138" s="114"/>
      <c r="K138" s="115"/>
      <c r="M138" s="114"/>
    </row>
    <row r="139" spans="3:13" s="113" customFormat="1" ht="20.100000000000001" customHeight="1">
      <c r="C139" s="114"/>
      <c r="E139" s="116"/>
      <c r="F139" s="116"/>
      <c r="G139" s="116"/>
      <c r="H139" s="114"/>
      <c r="I139" s="114"/>
      <c r="J139" s="114"/>
      <c r="K139" s="115"/>
      <c r="M139" s="114"/>
    </row>
    <row r="140" spans="3:13" s="113" customFormat="1" ht="20.100000000000001" customHeight="1">
      <c r="C140" s="114"/>
      <c r="E140" s="116"/>
      <c r="F140" s="116"/>
      <c r="G140" s="116"/>
      <c r="H140" s="114"/>
      <c r="I140" s="114"/>
      <c r="J140" s="114"/>
      <c r="K140" s="115"/>
      <c r="M140" s="114"/>
    </row>
    <row r="141" spans="3:13" s="113" customFormat="1" ht="20.100000000000001" customHeight="1">
      <c r="C141" s="114"/>
      <c r="E141" s="116"/>
      <c r="F141" s="116"/>
      <c r="G141" s="116"/>
      <c r="H141" s="114"/>
      <c r="I141" s="114"/>
      <c r="J141" s="114"/>
      <c r="K141" s="115"/>
      <c r="M141" s="114"/>
    </row>
    <row r="142" spans="3:13" s="113" customFormat="1" ht="20.100000000000001" customHeight="1">
      <c r="C142" s="114"/>
      <c r="E142" s="116"/>
      <c r="F142" s="116"/>
      <c r="G142" s="116"/>
      <c r="H142" s="114"/>
      <c r="I142" s="114"/>
      <c r="J142" s="114"/>
      <c r="K142" s="115"/>
      <c r="M142" s="114"/>
    </row>
    <row r="143" spans="3:13" s="113" customFormat="1" ht="20.100000000000001" customHeight="1">
      <c r="C143" s="114"/>
      <c r="E143" s="116"/>
      <c r="F143" s="116"/>
      <c r="G143" s="116"/>
      <c r="H143" s="114"/>
      <c r="I143" s="114"/>
      <c r="J143" s="114"/>
      <c r="K143" s="115"/>
      <c r="M143" s="114"/>
    </row>
    <row r="144" spans="3:13" s="113" customFormat="1" ht="20.100000000000001" customHeight="1">
      <c r="C144" s="114"/>
      <c r="E144" s="116"/>
      <c r="F144" s="116"/>
      <c r="G144" s="116"/>
      <c r="H144" s="114"/>
      <c r="I144" s="114"/>
      <c r="J144" s="114"/>
      <c r="K144" s="115"/>
      <c r="M144" s="114"/>
    </row>
    <row r="145" spans="3:13" s="113" customFormat="1" ht="20.100000000000001" customHeight="1">
      <c r="C145" s="114"/>
      <c r="E145" s="116"/>
      <c r="F145" s="116"/>
      <c r="G145" s="116"/>
      <c r="H145" s="114"/>
      <c r="I145" s="114"/>
      <c r="J145" s="114"/>
      <c r="K145" s="115"/>
      <c r="M145" s="114"/>
    </row>
    <row r="146" spans="3:13" s="113" customFormat="1" ht="20.100000000000001" customHeight="1">
      <c r="C146" s="114"/>
      <c r="E146" s="116"/>
      <c r="F146" s="116"/>
      <c r="G146" s="116"/>
      <c r="H146" s="114"/>
      <c r="I146" s="114"/>
      <c r="J146" s="114"/>
      <c r="K146" s="115"/>
      <c r="M146" s="114"/>
    </row>
    <row r="147" spans="3:13" s="113" customFormat="1" ht="20.100000000000001" customHeight="1">
      <c r="C147" s="114"/>
      <c r="E147" s="116"/>
      <c r="F147" s="116"/>
      <c r="G147" s="116"/>
      <c r="H147" s="114"/>
      <c r="I147" s="114"/>
      <c r="J147" s="114"/>
      <c r="K147" s="115"/>
      <c r="M147" s="114"/>
    </row>
    <row r="148" spans="3:13" s="113" customFormat="1" ht="20.100000000000001" customHeight="1">
      <c r="C148" s="114"/>
      <c r="E148" s="116"/>
      <c r="F148" s="116"/>
      <c r="G148" s="116"/>
      <c r="H148" s="114"/>
      <c r="I148" s="114"/>
      <c r="J148" s="114"/>
      <c r="K148" s="115"/>
      <c r="M148" s="114"/>
    </row>
    <row r="149" spans="3:13" s="113" customFormat="1" ht="20.100000000000001" customHeight="1">
      <c r="C149" s="114"/>
      <c r="E149" s="116"/>
      <c r="F149" s="116"/>
      <c r="G149" s="116"/>
      <c r="H149" s="114"/>
      <c r="I149" s="114"/>
      <c r="J149" s="114"/>
      <c r="K149" s="115"/>
      <c r="M149" s="114"/>
    </row>
    <row r="150" spans="3:13" s="113" customFormat="1" ht="20.100000000000001" customHeight="1">
      <c r="C150" s="114"/>
      <c r="E150" s="116"/>
      <c r="F150" s="116"/>
      <c r="G150" s="116"/>
      <c r="H150" s="114"/>
      <c r="I150" s="114"/>
      <c r="J150" s="114"/>
      <c r="K150" s="115"/>
      <c r="M150" s="114"/>
    </row>
    <row r="151" spans="3:13" s="113" customFormat="1" ht="20.100000000000001" customHeight="1">
      <c r="C151" s="114"/>
      <c r="E151" s="116"/>
      <c r="F151" s="116"/>
      <c r="G151" s="116"/>
      <c r="H151" s="114"/>
      <c r="I151" s="114"/>
      <c r="J151" s="114"/>
      <c r="K151" s="115"/>
      <c r="M151" s="114"/>
    </row>
    <row r="152" spans="3:13" s="113" customFormat="1" ht="20.100000000000001" customHeight="1">
      <c r="C152" s="114"/>
      <c r="E152" s="116"/>
      <c r="F152" s="116"/>
      <c r="G152" s="116"/>
      <c r="H152" s="114"/>
      <c r="I152" s="114"/>
      <c r="J152" s="114"/>
      <c r="K152" s="115"/>
      <c r="M152" s="114"/>
    </row>
    <row r="153" spans="3:13" s="113" customFormat="1" ht="20.100000000000001" customHeight="1">
      <c r="C153" s="114"/>
      <c r="E153" s="116"/>
      <c r="F153" s="116"/>
      <c r="G153" s="116"/>
      <c r="H153" s="114"/>
      <c r="I153" s="114"/>
      <c r="J153" s="114"/>
      <c r="K153" s="115"/>
      <c r="M153" s="114"/>
    </row>
    <row r="154" spans="3:13" s="113" customFormat="1" ht="20.100000000000001" customHeight="1">
      <c r="C154" s="114"/>
      <c r="E154" s="116"/>
      <c r="F154" s="116"/>
      <c r="G154" s="116"/>
      <c r="H154" s="114"/>
      <c r="I154" s="114"/>
      <c r="J154" s="114"/>
      <c r="K154" s="115"/>
      <c r="M154" s="114"/>
    </row>
    <row r="155" spans="3:13" s="113" customFormat="1" ht="20.100000000000001" customHeight="1">
      <c r="C155" s="114"/>
      <c r="E155" s="116"/>
      <c r="F155" s="116"/>
      <c r="G155" s="116"/>
      <c r="H155" s="114"/>
      <c r="I155" s="114"/>
      <c r="J155" s="114"/>
      <c r="K155" s="115"/>
      <c r="M155" s="114"/>
    </row>
    <row r="156" spans="3:13" s="113" customFormat="1" ht="20.100000000000001" customHeight="1">
      <c r="C156" s="114"/>
      <c r="E156" s="116"/>
      <c r="F156" s="116"/>
      <c r="G156" s="116"/>
      <c r="H156" s="114"/>
      <c r="I156" s="114"/>
      <c r="J156" s="114"/>
      <c r="K156" s="115"/>
      <c r="M156" s="114"/>
    </row>
    <row r="157" spans="3:13" s="113" customFormat="1" ht="20.100000000000001" customHeight="1">
      <c r="C157" s="114"/>
      <c r="E157" s="116"/>
      <c r="F157" s="116"/>
      <c r="G157" s="116"/>
      <c r="H157" s="114"/>
      <c r="I157" s="114"/>
      <c r="J157" s="114"/>
      <c r="K157" s="115"/>
      <c r="M157" s="114"/>
    </row>
    <row r="158" spans="3:13" s="113" customFormat="1" ht="20.100000000000001" customHeight="1">
      <c r="C158" s="114"/>
      <c r="E158" s="116"/>
      <c r="F158" s="116"/>
      <c r="G158" s="116"/>
      <c r="H158" s="114"/>
      <c r="I158" s="114"/>
      <c r="J158" s="114"/>
      <c r="K158" s="115"/>
      <c r="M158" s="114"/>
    </row>
    <row r="159" spans="3:13" s="113" customFormat="1" ht="20.100000000000001" customHeight="1">
      <c r="C159" s="114"/>
      <c r="E159" s="116"/>
      <c r="F159" s="116"/>
      <c r="G159" s="116"/>
      <c r="H159" s="114"/>
      <c r="I159" s="114"/>
      <c r="J159" s="114"/>
      <c r="K159" s="115"/>
      <c r="M159" s="114"/>
    </row>
    <row r="160" spans="3:13" s="113" customFormat="1" ht="20.100000000000001" customHeight="1">
      <c r="C160" s="114"/>
      <c r="E160" s="116"/>
      <c r="F160" s="116"/>
      <c r="G160" s="116"/>
      <c r="H160" s="114"/>
      <c r="I160" s="114"/>
      <c r="J160" s="114"/>
      <c r="K160" s="115"/>
      <c r="M160" s="114"/>
    </row>
    <row r="161" spans="3:13" s="113" customFormat="1" ht="20.100000000000001" customHeight="1">
      <c r="C161" s="114"/>
      <c r="E161" s="116"/>
      <c r="F161" s="116"/>
      <c r="G161" s="116"/>
      <c r="H161" s="114"/>
      <c r="I161" s="114"/>
      <c r="J161" s="114"/>
      <c r="K161" s="115"/>
      <c r="M161" s="114"/>
    </row>
    <row r="162" spans="3:13" s="113" customFormat="1" ht="20.100000000000001" customHeight="1">
      <c r="C162" s="114"/>
      <c r="E162" s="116"/>
      <c r="F162" s="116"/>
      <c r="G162" s="116"/>
      <c r="H162" s="114"/>
      <c r="I162" s="114"/>
      <c r="J162" s="114"/>
      <c r="K162" s="115"/>
      <c r="M162" s="114"/>
    </row>
    <row r="163" spans="3:13" s="113" customFormat="1" ht="20.100000000000001" customHeight="1">
      <c r="C163" s="114"/>
      <c r="E163" s="116"/>
      <c r="F163" s="116"/>
      <c r="G163" s="116"/>
      <c r="H163" s="114"/>
      <c r="I163" s="114"/>
      <c r="J163" s="114"/>
      <c r="K163" s="115"/>
      <c r="M163" s="114"/>
    </row>
    <row r="164" spans="3:13" s="113" customFormat="1" ht="20.100000000000001" customHeight="1">
      <c r="C164" s="114"/>
      <c r="E164" s="116"/>
      <c r="F164" s="116"/>
      <c r="G164" s="116"/>
      <c r="H164" s="114"/>
      <c r="I164" s="114"/>
      <c r="J164" s="114"/>
      <c r="K164" s="115"/>
      <c r="M164" s="114"/>
    </row>
    <row r="165" spans="3:13" s="113" customFormat="1" ht="20.100000000000001" customHeight="1">
      <c r="C165" s="114"/>
      <c r="E165" s="116"/>
      <c r="F165" s="116"/>
      <c r="G165" s="116"/>
      <c r="H165" s="114"/>
      <c r="I165" s="114"/>
      <c r="J165" s="114"/>
      <c r="K165" s="115"/>
      <c r="M165" s="114"/>
    </row>
    <row r="166" spans="3:13" s="113" customFormat="1" ht="20.100000000000001" customHeight="1">
      <c r="C166" s="114"/>
      <c r="E166" s="116"/>
      <c r="F166" s="116"/>
      <c r="G166" s="116"/>
      <c r="H166" s="114"/>
      <c r="I166" s="114"/>
      <c r="J166" s="114"/>
      <c r="K166" s="115"/>
      <c r="M166" s="114"/>
    </row>
    <row r="167" spans="3:13" s="113" customFormat="1" ht="20.100000000000001" customHeight="1">
      <c r="C167" s="114"/>
      <c r="E167" s="116"/>
      <c r="F167" s="116"/>
      <c r="G167" s="116"/>
      <c r="H167" s="114"/>
      <c r="I167" s="114"/>
      <c r="J167" s="114"/>
      <c r="K167" s="115"/>
      <c r="M167" s="114"/>
    </row>
    <row r="168" spans="3:13" s="113" customFormat="1" ht="20.100000000000001" customHeight="1">
      <c r="C168" s="114"/>
      <c r="E168" s="116"/>
      <c r="F168" s="116"/>
      <c r="G168" s="116"/>
      <c r="H168" s="114"/>
      <c r="I168" s="114"/>
      <c r="J168" s="114"/>
      <c r="K168" s="115"/>
      <c r="M168" s="114"/>
    </row>
    <row r="169" spans="3:13" s="113" customFormat="1" ht="20.100000000000001" customHeight="1">
      <c r="C169" s="114"/>
      <c r="E169" s="116"/>
      <c r="F169" s="116"/>
      <c r="G169" s="116"/>
      <c r="H169" s="114"/>
      <c r="I169" s="114"/>
      <c r="J169" s="114"/>
      <c r="K169" s="115"/>
      <c r="M169" s="114"/>
    </row>
    <row r="170" spans="3:13" s="113" customFormat="1" ht="20.100000000000001" customHeight="1">
      <c r="C170" s="114"/>
      <c r="E170" s="116"/>
      <c r="F170" s="116"/>
      <c r="G170" s="116"/>
      <c r="H170" s="114"/>
      <c r="I170" s="114"/>
      <c r="J170" s="114"/>
      <c r="K170" s="115"/>
      <c r="M170" s="114"/>
    </row>
    <row r="171" spans="3:13" s="113" customFormat="1" ht="20.100000000000001" customHeight="1">
      <c r="C171" s="114"/>
      <c r="E171" s="116"/>
      <c r="F171" s="116"/>
      <c r="G171" s="116"/>
      <c r="H171" s="114"/>
      <c r="I171" s="114"/>
      <c r="J171" s="114"/>
      <c r="K171" s="115"/>
      <c r="M171" s="114"/>
    </row>
    <row r="172" spans="3:13" s="113" customFormat="1" ht="20.100000000000001" customHeight="1">
      <c r="C172" s="114"/>
      <c r="E172" s="116"/>
      <c r="F172" s="116"/>
      <c r="G172" s="116"/>
      <c r="H172" s="114"/>
      <c r="I172" s="114"/>
      <c r="J172" s="114"/>
      <c r="K172" s="115"/>
      <c r="M172" s="114"/>
    </row>
    <row r="173" spans="3:13" s="113" customFormat="1" ht="20.100000000000001" customHeight="1">
      <c r="C173" s="114"/>
      <c r="E173" s="116"/>
      <c r="F173" s="116"/>
      <c r="G173" s="116"/>
      <c r="H173" s="114"/>
      <c r="I173" s="114"/>
      <c r="J173" s="114"/>
      <c r="K173" s="115"/>
      <c r="M173" s="114"/>
    </row>
    <row r="174" spans="3:13" s="113" customFormat="1" ht="20.100000000000001" customHeight="1">
      <c r="C174" s="114"/>
      <c r="E174" s="116"/>
      <c r="F174" s="116"/>
      <c r="G174" s="116"/>
      <c r="H174" s="114"/>
      <c r="I174" s="114"/>
      <c r="J174" s="114"/>
      <c r="K174" s="115"/>
      <c r="M174" s="114"/>
    </row>
    <row r="175" spans="3:13" s="113" customFormat="1" ht="20.100000000000001" customHeight="1">
      <c r="C175" s="114"/>
      <c r="E175" s="116"/>
      <c r="F175" s="116"/>
      <c r="G175" s="116"/>
      <c r="H175" s="114"/>
      <c r="I175" s="114"/>
      <c r="J175" s="114"/>
      <c r="K175" s="115"/>
      <c r="M175" s="114"/>
    </row>
    <row r="176" spans="3:13" s="113" customFormat="1" ht="20.100000000000001" customHeight="1">
      <c r="C176" s="114"/>
      <c r="E176" s="116"/>
      <c r="F176" s="116"/>
      <c r="G176" s="116"/>
      <c r="H176" s="114"/>
      <c r="I176" s="114"/>
      <c r="J176" s="114"/>
      <c r="K176" s="115"/>
      <c r="M176" s="114"/>
    </row>
    <row r="177" spans="3:13" s="113" customFormat="1" ht="20.100000000000001" customHeight="1">
      <c r="C177" s="114"/>
      <c r="E177" s="116"/>
      <c r="F177" s="116"/>
      <c r="G177" s="116"/>
      <c r="H177" s="114"/>
      <c r="I177" s="114"/>
      <c r="J177" s="114"/>
      <c r="K177" s="115"/>
      <c r="M177" s="114"/>
    </row>
    <row r="178" spans="3:13" s="113" customFormat="1" ht="20.100000000000001" customHeight="1">
      <c r="C178" s="114"/>
      <c r="E178" s="116"/>
      <c r="F178" s="116"/>
      <c r="G178" s="116"/>
      <c r="H178" s="114"/>
      <c r="I178" s="114"/>
      <c r="J178" s="114"/>
      <c r="K178" s="115"/>
      <c r="M178" s="114"/>
    </row>
    <row r="179" spans="3:13" s="113" customFormat="1" ht="20.100000000000001" customHeight="1">
      <c r="C179" s="114"/>
      <c r="E179" s="116"/>
      <c r="F179" s="116"/>
      <c r="G179" s="116"/>
      <c r="H179" s="114"/>
      <c r="I179" s="114"/>
      <c r="J179" s="114"/>
      <c r="K179" s="115"/>
      <c r="M179" s="114"/>
    </row>
    <row r="180" spans="3:13" s="113" customFormat="1" ht="20.100000000000001" customHeight="1">
      <c r="C180" s="114"/>
      <c r="E180" s="116"/>
      <c r="F180" s="116"/>
      <c r="G180" s="116"/>
      <c r="H180" s="114"/>
      <c r="I180" s="114"/>
      <c r="J180" s="114"/>
      <c r="K180" s="115"/>
      <c r="M180" s="114"/>
    </row>
    <row r="181" spans="3:13" s="113" customFormat="1" ht="20.100000000000001" customHeight="1">
      <c r="C181" s="114"/>
      <c r="E181" s="116"/>
      <c r="F181" s="116"/>
      <c r="G181" s="116"/>
      <c r="H181" s="114"/>
      <c r="I181" s="114"/>
      <c r="J181" s="114"/>
      <c r="K181" s="115"/>
      <c r="M181" s="114"/>
    </row>
    <row r="182" spans="3:13" s="113" customFormat="1" ht="20.100000000000001" customHeight="1">
      <c r="C182" s="114"/>
      <c r="E182" s="116"/>
      <c r="F182" s="116"/>
      <c r="G182" s="116"/>
      <c r="H182" s="114"/>
      <c r="I182" s="114"/>
      <c r="J182" s="114"/>
      <c r="K182" s="115"/>
      <c r="M182" s="114"/>
    </row>
    <row r="183" spans="3:13" s="113" customFormat="1" ht="20.100000000000001" customHeight="1">
      <c r="C183" s="114"/>
      <c r="E183" s="116"/>
      <c r="F183" s="116"/>
      <c r="G183" s="116"/>
      <c r="H183" s="114"/>
      <c r="I183" s="114"/>
      <c r="J183" s="114"/>
      <c r="K183" s="115"/>
      <c r="M183" s="114"/>
    </row>
    <row r="184" spans="3:13" s="113" customFormat="1" ht="20.100000000000001" customHeight="1">
      <c r="C184" s="114"/>
      <c r="E184" s="116"/>
      <c r="F184" s="116"/>
      <c r="G184" s="116"/>
      <c r="H184" s="114"/>
      <c r="I184" s="114"/>
      <c r="J184" s="114"/>
      <c r="K184" s="115"/>
      <c r="M184" s="114"/>
    </row>
    <row r="185" spans="3:13" s="113" customFormat="1" ht="20.100000000000001" customHeight="1">
      <c r="C185" s="114"/>
      <c r="E185" s="116"/>
      <c r="F185" s="116"/>
      <c r="G185" s="116"/>
      <c r="H185" s="114"/>
      <c r="I185" s="114"/>
      <c r="J185" s="114"/>
      <c r="K185" s="115"/>
      <c r="M185" s="114"/>
    </row>
    <row r="186" spans="3:13" s="113" customFormat="1" ht="20.100000000000001" customHeight="1">
      <c r="C186" s="114"/>
      <c r="E186" s="116"/>
      <c r="F186" s="116"/>
      <c r="G186" s="116"/>
      <c r="H186" s="114"/>
      <c r="I186" s="114"/>
      <c r="J186" s="114"/>
      <c r="K186" s="115"/>
      <c r="M186" s="114"/>
    </row>
    <row r="187" spans="3:13" s="113" customFormat="1" ht="20.100000000000001" customHeight="1">
      <c r="C187" s="114"/>
      <c r="E187" s="116"/>
      <c r="F187" s="116"/>
      <c r="G187" s="116"/>
      <c r="H187" s="114"/>
      <c r="I187" s="114"/>
      <c r="J187" s="114"/>
      <c r="K187" s="115"/>
      <c r="M187" s="114"/>
    </row>
    <row r="188" spans="3:13" s="113" customFormat="1" ht="20.100000000000001" customHeight="1">
      <c r="C188" s="114"/>
      <c r="E188" s="116"/>
      <c r="F188" s="116"/>
      <c r="G188" s="116"/>
      <c r="H188" s="114"/>
      <c r="I188" s="114"/>
      <c r="J188" s="114"/>
      <c r="K188" s="115"/>
      <c r="M188" s="114"/>
    </row>
    <row r="189" spans="3:13" s="113" customFormat="1" ht="20.100000000000001" customHeight="1">
      <c r="C189" s="114"/>
      <c r="E189" s="116"/>
      <c r="F189" s="116"/>
      <c r="G189" s="116"/>
      <c r="H189" s="114"/>
      <c r="I189" s="114"/>
      <c r="J189" s="114"/>
      <c r="K189" s="115"/>
      <c r="M189" s="114"/>
    </row>
    <row r="190" spans="3:13" s="113" customFormat="1" ht="20.100000000000001" customHeight="1">
      <c r="C190" s="114"/>
      <c r="E190" s="116"/>
      <c r="F190" s="116"/>
      <c r="G190" s="116"/>
      <c r="H190" s="114"/>
      <c r="I190" s="114"/>
      <c r="J190" s="114"/>
      <c r="K190" s="115"/>
      <c r="M190" s="114"/>
    </row>
    <row r="191" spans="3:13" s="113" customFormat="1" ht="20.100000000000001" customHeight="1">
      <c r="C191" s="114"/>
      <c r="E191" s="116"/>
      <c r="F191" s="116"/>
      <c r="G191" s="116"/>
      <c r="H191" s="114"/>
      <c r="I191" s="114"/>
      <c r="J191" s="114"/>
      <c r="K191" s="115"/>
      <c r="M191" s="114"/>
    </row>
    <row r="192" spans="3:13" s="113" customFormat="1" ht="20.100000000000001" customHeight="1">
      <c r="C192" s="114"/>
      <c r="E192" s="116"/>
      <c r="F192" s="116"/>
      <c r="G192" s="116"/>
      <c r="H192" s="114"/>
      <c r="I192" s="114"/>
      <c r="J192" s="114"/>
      <c r="K192" s="115"/>
      <c r="M192" s="114"/>
    </row>
    <row r="193" spans="3:13" s="113" customFormat="1" ht="20.100000000000001" customHeight="1">
      <c r="C193" s="114"/>
      <c r="E193" s="116"/>
      <c r="F193" s="116"/>
      <c r="G193" s="116"/>
      <c r="H193" s="114"/>
      <c r="I193" s="114"/>
      <c r="J193" s="114"/>
      <c r="K193" s="115"/>
      <c r="M193" s="114"/>
    </row>
    <row r="194" spans="3:13" s="113" customFormat="1" ht="20.100000000000001" customHeight="1">
      <c r="C194" s="114"/>
      <c r="E194" s="116"/>
      <c r="F194" s="116"/>
      <c r="G194" s="116"/>
      <c r="H194" s="114"/>
      <c r="I194" s="114"/>
      <c r="J194" s="114"/>
      <c r="K194" s="115"/>
      <c r="M194" s="114"/>
    </row>
    <row r="195" spans="3:13" s="113" customFormat="1" ht="20.100000000000001" customHeight="1">
      <c r="C195" s="114"/>
      <c r="E195" s="116"/>
      <c r="F195" s="116"/>
      <c r="G195" s="116"/>
      <c r="H195" s="114"/>
      <c r="I195" s="114"/>
      <c r="J195" s="114"/>
      <c r="K195" s="115"/>
      <c r="M195" s="114"/>
    </row>
    <row r="196" spans="3:13" s="113" customFormat="1" ht="20.100000000000001" customHeight="1">
      <c r="C196" s="114"/>
      <c r="E196" s="116"/>
      <c r="F196" s="116"/>
      <c r="G196" s="116"/>
      <c r="H196" s="114"/>
      <c r="I196" s="114"/>
      <c r="J196" s="114"/>
      <c r="K196" s="115"/>
      <c r="M196" s="114"/>
    </row>
    <row r="197" spans="3:13" s="113" customFormat="1" ht="20.100000000000001" customHeight="1">
      <c r="C197" s="114"/>
      <c r="E197" s="116"/>
      <c r="F197" s="116"/>
      <c r="G197" s="116"/>
      <c r="H197" s="114"/>
      <c r="I197" s="114"/>
      <c r="J197" s="114"/>
      <c r="K197" s="115"/>
      <c r="M197" s="114"/>
    </row>
    <row r="198" spans="3:13" s="113" customFormat="1" ht="20.100000000000001" customHeight="1">
      <c r="C198" s="114"/>
      <c r="E198" s="116"/>
      <c r="F198" s="116"/>
      <c r="G198" s="116"/>
      <c r="H198" s="114"/>
      <c r="I198" s="114"/>
      <c r="J198" s="114"/>
      <c r="K198" s="115"/>
      <c r="M198" s="114"/>
    </row>
    <row r="199" spans="3:13" s="113" customFormat="1" ht="20.100000000000001" customHeight="1">
      <c r="C199" s="114"/>
      <c r="E199" s="116"/>
      <c r="F199" s="116"/>
      <c r="G199" s="116"/>
      <c r="H199" s="114"/>
      <c r="I199" s="114"/>
      <c r="J199" s="114"/>
      <c r="K199" s="115"/>
      <c r="M199" s="114"/>
    </row>
    <row r="200" spans="3:13" s="113" customFormat="1" ht="20.100000000000001" customHeight="1">
      <c r="C200" s="114"/>
      <c r="E200" s="116"/>
      <c r="F200" s="116"/>
      <c r="G200" s="116"/>
      <c r="H200" s="114"/>
      <c r="I200" s="114"/>
      <c r="J200" s="114"/>
      <c r="K200" s="115"/>
      <c r="M200" s="114"/>
    </row>
    <row r="201" spans="3:13" s="113" customFormat="1" ht="20.100000000000001" customHeight="1">
      <c r="C201" s="114"/>
      <c r="E201" s="116"/>
      <c r="F201" s="116"/>
      <c r="G201" s="116"/>
      <c r="H201" s="114"/>
      <c r="I201" s="114"/>
      <c r="J201" s="114"/>
      <c r="K201" s="115"/>
      <c r="M201" s="114"/>
    </row>
    <row r="202" spans="3:13" s="113" customFormat="1" ht="20.100000000000001" customHeight="1">
      <c r="C202" s="114"/>
      <c r="E202" s="116"/>
      <c r="F202" s="116"/>
      <c r="G202" s="116"/>
      <c r="H202" s="114"/>
      <c r="I202" s="114"/>
      <c r="J202" s="114"/>
      <c r="K202" s="115"/>
      <c r="M202" s="114"/>
    </row>
    <row r="203" spans="3:13" s="113" customFormat="1" ht="20.100000000000001" customHeight="1">
      <c r="C203" s="114"/>
      <c r="E203" s="116"/>
      <c r="F203" s="116"/>
      <c r="G203" s="116"/>
      <c r="H203" s="114"/>
      <c r="I203" s="114"/>
      <c r="J203" s="114"/>
      <c r="K203" s="115"/>
      <c r="M203" s="114"/>
    </row>
    <row r="204" spans="3:13" s="113" customFormat="1" ht="20.100000000000001" customHeight="1">
      <c r="C204" s="114"/>
      <c r="E204" s="116"/>
      <c r="F204" s="116"/>
      <c r="G204" s="116"/>
      <c r="H204" s="114"/>
      <c r="I204" s="114"/>
      <c r="J204" s="114"/>
      <c r="K204" s="115"/>
      <c r="M204" s="114"/>
    </row>
    <row r="205" spans="3:13" s="113" customFormat="1" ht="20.100000000000001" customHeight="1">
      <c r="C205" s="114"/>
      <c r="E205" s="116"/>
      <c r="F205" s="116"/>
      <c r="G205" s="116"/>
      <c r="H205" s="114"/>
      <c r="I205" s="114"/>
      <c r="J205" s="114"/>
      <c r="K205" s="115"/>
      <c r="M205" s="114"/>
    </row>
    <row r="206" spans="3:13" s="113" customFormat="1" ht="20.100000000000001" customHeight="1">
      <c r="C206" s="114"/>
      <c r="E206" s="116"/>
      <c r="F206" s="116"/>
      <c r="G206" s="116"/>
      <c r="H206" s="114"/>
      <c r="I206" s="114"/>
      <c r="J206" s="114"/>
      <c r="K206" s="115"/>
      <c r="M206" s="114"/>
    </row>
    <row r="207" spans="3:13" s="113" customFormat="1" ht="20.100000000000001" customHeight="1">
      <c r="C207" s="114"/>
      <c r="E207" s="116"/>
      <c r="F207" s="116"/>
      <c r="G207" s="116"/>
      <c r="H207" s="114"/>
      <c r="I207" s="114"/>
      <c r="J207" s="114"/>
      <c r="K207" s="115"/>
      <c r="M207" s="114"/>
    </row>
    <row r="208" spans="3:13" s="113" customFormat="1" ht="20.100000000000001" customHeight="1">
      <c r="C208" s="114"/>
      <c r="E208" s="116"/>
      <c r="F208" s="116"/>
      <c r="G208" s="116"/>
      <c r="H208" s="114"/>
      <c r="I208" s="114"/>
      <c r="J208" s="114"/>
      <c r="K208" s="115"/>
      <c r="M208" s="114"/>
    </row>
    <row r="209" spans="3:13" s="113" customFormat="1" ht="20.100000000000001" customHeight="1">
      <c r="C209" s="114"/>
      <c r="E209" s="116"/>
      <c r="F209" s="116"/>
      <c r="G209" s="116"/>
      <c r="H209" s="114"/>
      <c r="I209" s="114"/>
      <c r="J209" s="114"/>
      <c r="K209" s="115"/>
      <c r="M209" s="114"/>
    </row>
    <row r="210" spans="3:13" s="113" customFormat="1" ht="20.100000000000001" customHeight="1">
      <c r="C210" s="114"/>
      <c r="E210" s="116"/>
      <c r="F210" s="116"/>
      <c r="G210" s="116"/>
      <c r="H210" s="114"/>
      <c r="I210" s="114"/>
      <c r="J210" s="114"/>
      <c r="K210" s="115"/>
      <c r="M210" s="114"/>
    </row>
    <row r="211" spans="3:13" s="113" customFormat="1" ht="20.100000000000001" customHeight="1">
      <c r="C211" s="114"/>
      <c r="E211" s="116"/>
      <c r="F211" s="116"/>
      <c r="G211" s="116"/>
      <c r="H211" s="114"/>
      <c r="I211" s="114"/>
      <c r="J211" s="114"/>
      <c r="K211" s="115"/>
      <c r="M211" s="114"/>
    </row>
    <row r="212" spans="3:13" s="113" customFormat="1" ht="20.100000000000001" customHeight="1">
      <c r="C212" s="114"/>
      <c r="E212" s="116"/>
      <c r="F212" s="116"/>
      <c r="G212" s="116"/>
      <c r="H212" s="114"/>
      <c r="I212" s="114"/>
      <c r="J212" s="114"/>
      <c r="K212" s="115"/>
      <c r="M212" s="114"/>
    </row>
    <row r="213" spans="3:13" s="113" customFormat="1" ht="20.100000000000001" customHeight="1">
      <c r="C213" s="114"/>
      <c r="E213" s="116"/>
      <c r="F213" s="116"/>
      <c r="G213" s="116"/>
      <c r="H213" s="114"/>
      <c r="I213" s="114"/>
      <c r="J213" s="114"/>
      <c r="K213" s="115"/>
      <c r="M213" s="114"/>
    </row>
    <row r="214" spans="3:13" s="113" customFormat="1" ht="20.100000000000001" customHeight="1">
      <c r="C214" s="114"/>
      <c r="E214" s="116"/>
      <c r="F214" s="116"/>
      <c r="G214" s="116"/>
      <c r="H214" s="114"/>
      <c r="I214" s="114"/>
      <c r="J214" s="114"/>
      <c r="K214" s="115"/>
      <c r="M214" s="114"/>
    </row>
    <row r="215" spans="3:13" s="113" customFormat="1" ht="20.100000000000001" customHeight="1">
      <c r="C215" s="114"/>
      <c r="E215" s="116"/>
      <c r="F215" s="116"/>
      <c r="G215" s="116"/>
      <c r="H215" s="114"/>
      <c r="I215" s="114"/>
      <c r="J215" s="114"/>
      <c r="K215" s="115"/>
      <c r="M215" s="114"/>
    </row>
    <row r="216" spans="3:13" s="113" customFormat="1" ht="20.100000000000001" customHeight="1">
      <c r="C216" s="114"/>
      <c r="E216" s="116"/>
      <c r="F216" s="116"/>
      <c r="G216" s="116"/>
      <c r="H216" s="114"/>
      <c r="I216" s="114"/>
      <c r="J216" s="114"/>
      <c r="K216" s="115"/>
      <c r="M216" s="114"/>
    </row>
    <row r="217" spans="3:13" s="113" customFormat="1" ht="20.100000000000001" customHeight="1">
      <c r="C217" s="114"/>
      <c r="E217" s="116"/>
      <c r="F217" s="116"/>
      <c r="G217" s="116"/>
      <c r="H217" s="114"/>
      <c r="I217" s="114"/>
      <c r="J217" s="114"/>
      <c r="K217" s="115"/>
      <c r="M217" s="114"/>
    </row>
    <row r="218" spans="3:13" s="113" customFormat="1" ht="20.100000000000001" customHeight="1">
      <c r="C218" s="114"/>
      <c r="E218" s="116"/>
      <c r="F218" s="116"/>
      <c r="G218" s="116"/>
      <c r="H218" s="114"/>
      <c r="I218" s="114"/>
      <c r="J218" s="114"/>
      <c r="K218" s="115"/>
      <c r="M218" s="114"/>
    </row>
    <row r="219" spans="3:13" s="113" customFormat="1" ht="20.100000000000001" customHeight="1">
      <c r="C219" s="114"/>
      <c r="E219" s="116"/>
      <c r="F219" s="116"/>
      <c r="G219" s="116"/>
      <c r="H219" s="114"/>
      <c r="I219" s="114"/>
      <c r="J219" s="114"/>
      <c r="K219" s="115"/>
      <c r="M219" s="114"/>
    </row>
    <row r="220" spans="3:13" s="113" customFormat="1" ht="20.100000000000001" customHeight="1">
      <c r="C220" s="114"/>
      <c r="E220" s="116"/>
      <c r="F220" s="116"/>
      <c r="G220" s="116"/>
      <c r="H220" s="114"/>
      <c r="I220" s="114"/>
      <c r="J220" s="114"/>
      <c r="K220" s="115"/>
      <c r="M220" s="114"/>
    </row>
    <row r="221" spans="3:13" s="113" customFormat="1" ht="20.100000000000001" customHeight="1">
      <c r="C221" s="114"/>
      <c r="E221" s="116"/>
      <c r="F221" s="116"/>
      <c r="G221" s="116"/>
      <c r="H221" s="114"/>
      <c r="I221" s="114"/>
      <c r="J221" s="114"/>
      <c r="K221" s="115"/>
      <c r="M221" s="114"/>
    </row>
    <row r="222" spans="3:13" s="113" customFormat="1" ht="20.100000000000001" customHeight="1">
      <c r="C222" s="114"/>
      <c r="E222" s="116"/>
      <c r="F222" s="116"/>
      <c r="G222" s="116"/>
      <c r="H222" s="114"/>
      <c r="I222" s="114"/>
      <c r="J222" s="114"/>
      <c r="K222" s="115"/>
      <c r="M222" s="114"/>
    </row>
    <row r="223" spans="3:13" s="113" customFormat="1" ht="20.100000000000001" customHeight="1">
      <c r="C223" s="114"/>
      <c r="E223" s="116"/>
      <c r="F223" s="116"/>
      <c r="G223" s="116"/>
      <c r="H223" s="114"/>
      <c r="I223" s="114"/>
      <c r="J223" s="114"/>
      <c r="K223" s="115"/>
      <c r="M223" s="114"/>
    </row>
    <row r="224" spans="3:13" s="113" customFormat="1" ht="20.100000000000001" customHeight="1">
      <c r="C224" s="114"/>
      <c r="E224" s="116"/>
      <c r="F224" s="116"/>
      <c r="G224" s="116"/>
      <c r="H224" s="114"/>
      <c r="I224" s="114"/>
      <c r="J224" s="114"/>
      <c r="K224" s="115"/>
      <c r="M224" s="114"/>
    </row>
    <row r="225" spans="3:13" s="113" customFormat="1" ht="20.100000000000001" customHeight="1">
      <c r="C225" s="114"/>
      <c r="E225" s="116"/>
      <c r="F225" s="116"/>
      <c r="G225" s="116"/>
      <c r="H225" s="114"/>
      <c r="I225" s="114"/>
      <c r="J225" s="114"/>
      <c r="K225" s="115"/>
      <c r="M225" s="114"/>
    </row>
    <row r="226" spans="3:13" s="113" customFormat="1" ht="20.100000000000001" customHeight="1">
      <c r="C226" s="114"/>
      <c r="E226" s="116"/>
      <c r="F226" s="116"/>
      <c r="G226" s="116"/>
      <c r="H226" s="114"/>
      <c r="I226" s="114"/>
      <c r="J226" s="114"/>
      <c r="K226" s="115"/>
      <c r="M226" s="114"/>
    </row>
    <row r="227" spans="3:13" s="113" customFormat="1" ht="20.100000000000001" customHeight="1">
      <c r="C227" s="114"/>
      <c r="E227" s="116"/>
      <c r="F227" s="116"/>
      <c r="G227" s="116"/>
      <c r="H227" s="114"/>
      <c r="I227" s="114"/>
      <c r="J227" s="114"/>
      <c r="K227" s="115"/>
      <c r="M227" s="114"/>
    </row>
    <row r="228" spans="3:13" s="113" customFormat="1" ht="20.100000000000001" customHeight="1">
      <c r="C228" s="114"/>
      <c r="E228" s="116"/>
      <c r="F228" s="116"/>
      <c r="G228" s="116"/>
      <c r="H228" s="114"/>
      <c r="I228" s="114"/>
      <c r="J228" s="114"/>
      <c r="K228" s="115"/>
      <c r="M228" s="114"/>
    </row>
    <row r="229" spans="3:13" s="113" customFormat="1" ht="20.100000000000001" customHeight="1">
      <c r="C229" s="114"/>
      <c r="E229" s="116"/>
      <c r="F229" s="116"/>
      <c r="G229" s="116"/>
      <c r="H229" s="114"/>
      <c r="I229" s="114"/>
      <c r="J229" s="114"/>
      <c r="K229" s="115"/>
      <c r="M229" s="114"/>
    </row>
    <row r="230" spans="3:13" s="113" customFormat="1" ht="20.100000000000001" customHeight="1">
      <c r="C230" s="114"/>
      <c r="E230" s="116"/>
      <c r="F230" s="116"/>
      <c r="G230" s="116"/>
      <c r="H230" s="114"/>
      <c r="I230" s="114"/>
      <c r="J230" s="114"/>
      <c r="K230" s="115"/>
      <c r="M230" s="114"/>
    </row>
    <row r="231" spans="3:13" s="113" customFormat="1" ht="20.100000000000001" customHeight="1">
      <c r="C231" s="114"/>
      <c r="E231" s="116"/>
      <c r="F231" s="116"/>
      <c r="G231" s="116"/>
      <c r="H231" s="114"/>
      <c r="I231" s="114"/>
      <c r="J231" s="114"/>
      <c r="K231" s="115"/>
      <c r="M231" s="114"/>
    </row>
    <row r="232" spans="3:13" s="113" customFormat="1" ht="20.100000000000001" customHeight="1">
      <c r="C232" s="114"/>
      <c r="E232" s="116"/>
      <c r="F232" s="116"/>
      <c r="G232" s="116"/>
      <c r="H232" s="114"/>
      <c r="I232" s="114"/>
      <c r="J232" s="114"/>
      <c r="K232" s="115"/>
      <c r="M232" s="114"/>
    </row>
    <row r="233" spans="3:13" s="113" customFormat="1" ht="20.100000000000001" customHeight="1">
      <c r="C233" s="114"/>
      <c r="E233" s="116"/>
      <c r="F233" s="116"/>
      <c r="G233" s="116"/>
      <c r="H233" s="114"/>
      <c r="I233" s="114"/>
      <c r="J233" s="114"/>
      <c r="K233" s="115"/>
      <c r="M233" s="114"/>
    </row>
    <row r="234" spans="3:13" s="113" customFormat="1" ht="20.100000000000001" customHeight="1">
      <c r="C234" s="114"/>
      <c r="E234" s="116"/>
      <c r="F234" s="116"/>
      <c r="G234" s="116"/>
      <c r="H234" s="114"/>
      <c r="I234" s="114"/>
      <c r="J234" s="114"/>
      <c r="K234" s="115"/>
      <c r="M234" s="114"/>
    </row>
    <row r="235" spans="3:13" s="113" customFormat="1" ht="20.100000000000001" customHeight="1">
      <c r="C235" s="114"/>
      <c r="E235" s="116"/>
      <c r="F235" s="116"/>
      <c r="G235" s="116"/>
      <c r="H235" s="114"/>
      <c r="I235" s="114"/>
      <c r="J235" s="114"/>
      <c r="K235" s="115"/>
      <c r="M235" s="114"/>
    </row>
    <row r="236" spans="3:13" s="113" customFormat="1" ht="20.100000000000001" customHeight="1">
      <c r="C236" s="114"/>
      <c r="E236" s="116"/>
      <c r="F236" s="116"/>
      <c r="G236" s="116"/>
      <c r="H236" s="114"/>
      <c r="I236" s="114"/>
      <c r="J236" s="114"/>
      <c r="K236" s="115"/>
      <c r="M236" s="114"/>
    </row>
    <row r="237" spans="3:13" s="113" customFormat="1" ht="20.100000000000001" customHeight="1">
      <c r="C237" s="114"/>
      <c r="E237" s="116"/>
      <c r="F237" s="116"/>
      <c r="G237" s="116"/>
      <c r="H237" s="114"/>
      <c r="I237" s="114"/>
      <c r="J237" s="114"/>
      <c r="K237" s="115"/>
      <c r="M237" s="114"/>
    </row>
    <row r="238" spans="3:13" s="113" customFormat="1" ht="20.100000000000001" customHeight="1">
      <c r="C238" s="114"/>
      <c r="E238" s="116"/>
      <c r="F238" s="116"/>
      <c r="G238" s="116"/>
      <c r="H238" s="114"/>
      <c r="I238" s="114"/>
      <c r="J238" s="114"/>
      <c r="K238" s="115"/>
      <c r="M238" s="114"/>
    </row>
    <row r="239" spans="3:13" s="113" customFormat="1" ht="20.100000000000001" customHeight="1">
      <c r="C239" s="114"/>
      <c r="E239" s="116"/>
      <c r="F239" s="116"/>
      <c r="G239" s="116"/>
      <c r="H239" s="114"/>
      <c r="I239" s="114"/>
      <c r="J239" s="114"/>
      <c r="K239" s="115"/>
      <c r="M239" s="114"/>
    </row>
    <row r="240" spans="3:13" s="113" customFormat="1" ht="20.100000000000001" customHeight="1">
      <c r="C240" s="114"/>
      <c r="E240" s="116"/>
      <c r="F240" s="116"/>
      <c r="G240" s="116"/>
      <c r="H240" s="114"/>
      <c r="I240" s="114"/>
      <c r="J240" s="114"/>
      <c r="K240" s="115"/>
      <c r="M240" s="114"/>
    </row>
    <row r="241" spans="3:13" s="113" customFormat="1" ht="20.100000000000001" customHeight="1">
      <c r="C241" s="114"/>
      <c r="E241" s="116"/>
      <c r="F241" s="116"/>
      <c r="G241" s="116"/>
      <c r="H241" s="114"/>
      <c r="I241" s="114"/>
      <c r="J241" s="114"/>
      <c r="K241" s="115"/>
      <c r="M241" s="114"/>
    </row>
    <row r="242" spans="3:13" s="113" customFormat="1" ht="20.100000000000001" customHeight="1">
      <c r="C242" s="114"/>
      <c r="E242" s="116"/>
      <c r="F242" s="116"/>
      <c r="G242" s="116"/>
      <c r="H242" s="114"/>
      <c r="I242" s="114"/>
      <c r="J242" s="114"/>
      <c r="K242" s="115"/>
      <c r="M242" s="114"/>
    </row>
    <row r="243" spans="3:13" s="113" customFormat="1" ht="20.100000000000001" customHeight="1">
      <c r="C243" s="114"/>
      <c r="E243" s="116"/>
      <c r="F243" s="116"/>
      <c r="G243" s="116"/>
      <c r="H243" s="114"/>
      <c r="I243" s="114"/>
      <c r="J243" s="114"/>
      <c r="K243" s="115"/>
      <c r="M243" s="114"/>
    </row>
    <row r="244" spans="3:13" s="113" customFormat="1" ht="20.100000000000001" customHeight="1">
      <c r="C244" s="114"/>
      <c r="E244" s="116"/>
      <c r="F244" s="116"/>
      <c r="G244" s="116"/>
      <c r="H244" s="114"/>
      <c r="I244" s="114"/>
      <c r="J244" s="114"/>
      <c r="K244" s="115"/>
      <c r="M244" s="114"/>
    </row>
    <row r="245" spans="3:13" s="113" customFormat="1" ht="20.100000000000001" customHeight="1">
      <c r="C245" s="114"/>
      <c r="E245" s="116"/>
      <c r="F245" s="116"/>
      <c r="G245" s="116"/>
      <c r="H245" s="114"/>
      <c r="I245" s="114"/>
      <c r="J245" s="114"/>
      <c r="K245" s="115"/>
      <c r="M245" s="114"/>
    </row>
    <row r="246" spans="3:13" s="113" customFormat="1" ht="20.100000000000001" customHeight="1">
      <c r="C246" s="114"/>
      <c r="E246" s="116"/>
      <c r="F246" s="116"/>
      <c r="G246" s="116"/>
      <c r="H246" s="114"/>
      <c r="I246" s="114"/>
      <c r="J246" s="114"/>
      <c r="K246" s="115"/>
      <c r="M246" s="114"/>
    </row>
    <row r="247" spans="3:13" s="113" customFormat="1" ht="20.100000000000001" customHeight="1">
      <c r="C247" s="114"/>
      <c r="E247" s="116"/>
      <c r="F247" s="116"/>
      <c r="G247" s="116"/>
      <c r="H247" s="114"/>
      <c r="I247" s="114"/>
      <c r="J247" s="114"/>
      <c r="K247" s="115"/>
      <c r="M247" s="114"/>
    </row>
    <row r="248" spans="3:13" s="113" customFormat="1" ht="20.100000000000001" customHeight="1">
      <c r="C248" s="114"/>
      <c r="E248" s="116"/>
      <c r="F248" s="116"/>
      <c r="G248" s="116"/>
      <c r="H248" s="114"/>
      <c r="I248" s="114"/>
      <c r="J248" s="114"/>
      <c r="K248" s="115"/>
      <c r="M248" s="114"/>
    </row>
    <row r="249" spans="3:13" s="113" customFormat="1" ht="20.100000000000001" customHeight="1">
      <c r="C249" s="114"/>
      <c r="E249" s="116"/>
      <c r="F249" s="116"/>
      <c r="G249" s="116"/>
      <c r="H249" s="114"/>
      <c r="I249" s="114"/>
      <c r="J249" s="114"/>
      <c r="K249" s="115"/>
      <c r="M249" s="114"/>
    </row>
    <row r="250" spans="3:13" s="113" customFormat="1" ht="20.100000000000001" customHeight="1">
      <c r="C250" s="114"/>
      <c r="E250" s="116"/>
      <c r="F250" s="116"/>
      <c r="G250" s="116"/>
      <c r="H250" s="114"/>
      <c r="I250" s="114"/>
      <c r="J250" s="114"/>
      <c r="K250" s="115"/>
      <c r="M250" s="114"/>
    </row>
    <row r="251" spans="3:13" s="113" customFormat="1" ht="20.100000000000001" customHeight="1">
      <c r="C251" s="114"/>
      <c r="E251" s="116"/>
      <c r="F251" s="116"/>
      <c r="G251" s="116"/>
      <c r="H251" s="114"/>
      <c r="I251" s="114"/>
      <c r="J251" s="114"/>
      <c r="K251" s="115"/>
      <c r="M251" s="114"/>
    </row>
    <row r="252" spans="3:13" s="113" customFormat="1" ht="20.100000000000001" customHeight="1">
      <c r="C252" s="114"/>
      <c r="E252" s="116"/>
      <c r="F252" s="116"/>
      <c r="G252" s="116"/>
      <c r="H252" s="114"/>
      <c r="I252" s="114"/>
      <c r="J252" s="114"/>
      <c r="K252" s="115"/>
      <c r="M252" s="114"/>
    </row>
    <row r="253" spans="3:13" s="113" customFormat="1" ht="20.100000000000001" customHeight="1">
      <c r="C253" s="114"/>
      <c r="E253" s="116"/>
      <c r="F253" s="116"/>
      <c r="G253" s="116"/>
      <c r="H253" s="114"/>
      <c r="I253" s="114"/>
      <c r="J253" s="114"/>
      <c r="K253" s="115"/>
      <c r="M253" s="114"/>
    </row>
    <row r="254" spans="3:13" s="113" customFormat="1" ht="20.100000000000001" customHeight="1">
      <c r="C254" s="114"/>
      <c r="E254" s="116"/>
      <c r="F254" s="116"/>
      <c r="G254" s="116"/>
      <c r="H254" s="114"/>
      <c r="I254" s="114"/>
      <c r="J254" s="114"/>
      <c r="K254" s="115"/>
      <c r="M254" s="114"/>
    </row>
    <row r="255" spans="3:13" s="113" customFormat="1" ht="20.100000000000001" customHeight="1">
      <c r="C255" s="114"/>
      <c r="E255" s="116"/>
      <c r="F255" s="116"/>
      <c r="G255" s="116"/>
      <c r="H255" s="114"/>
      <c r="I255" s="114"/>
      <c r="J255" s="114"/>
      <c r="K255" s="115"/>
      <c r="M255" s="114"/>
    </row>
    <row r="256" spans="3:13" s="113" customFormat="1" ht="20.100000000000001" customHeight="1">
      <c r="C256" s="114"/>
      <c r="E256" s="116"/>
      <c r="F256" s="116"/>
      <c r="G256" s="116"/>
      <c r="H256" s="114"/>
      <c r="I256" s="114"/>
      <c r="J256" s="114"/>
      <c r="K256" s="115"/>
      <c r="M256" s="114"/>
    </row>
    <row r="257" spans="3:13" s="113" customFormat="1" ht="20.100000000000001" customHeight="1">
      <c r="C257" s="114"/>
      <c r="E257" s="116"/>
      <c r="F257" s="116"/>
      <c r="G257" s="116"/>
      <c r="H257" s="114"/>
      <c r="I257" s="114"/>
      <c r="J257" s="114"/>
      <c r="K257" s="115"/>
      <c r="M257" s="114"/>
    </row>
    <row r="258" spans="3:13" s="113" customFormat="1" ht="20.100000000000001" customHeight="1">
      <c r="C258" s="114"/>
      <c r="E258" s="116"/>
      <c r="F258" s="116"/>
      <c r="G258" s="116"/>
      <c r="H258" s="114"/>
      <c r="I258" s="114"/>
      <c r="J258" s="114"/>
      <c r="K258" s="115"/>
      <c r="M258" s="114"/>
    </row>
    <row r="259" spans="3:13" s="113" customFormat="1" ht="20.100000000000001" customHeight="1">
      <c r="C259" s="114"/>
      <c r="E259" s="116"/>
      <c r="F259" s="116"/>
      <c r="G259" s="116"/>
      <c r="H259" s="114"/>
      <c r="I259" s="114"/>
      <c r="J259" s="114"/>
      <c r="K259" s="115"/>
      <c r="M259" s="114"/>
    </row>
    <row r="260" spans="3:13" s="113" customFormat="1" ht="20.100000000000001" customHeight="1">
      <c r="C260" s="114"/>
      <c r="E260" s="116"/>
      <c r="F260" s="116"/>
      <c r="G260" s="116"/>
      <c r="H260" s="114"/>
      <c r="I260" s="114"/>
      <c r="J260" s="114"/>
      <c r="K260" s="115"/>
      <c r="M260" s="114"/>
    </row>
    <row r="261" spans="3:13" s="113" customFormat="1" ht="20.100000000000001" customHeight="1">
      <c r="C261" s="114"/>
      <c r="E261" s="116"/>
      <c r="F261" s="116"/>
      <c r="G261" s="116"/>
      <c r="H261" s="114"/>
      <c r="I261" s="114"/>
      <c r="J261" s="114"/>
      <c r="K261" s="115"/>
      <c r="M261" s="114"/>
    </row>
    <row r="262" spans="3:13" s="113" customFormat="1" ht="20.100000000000001" customHeight="1">
      <c r="C262" s="114"/>
      <c r="E262" s="116"/>
      <c r="F262" s="116"/>
      <c r="G262" s="116"/>
      <c r="H262" s="114"/>
      <c r="I262" s="114"/>
      <c r="J262" s="114"/>
      <c r="K262" s="115"/>
      <c r="M262" s="114"/>
    </row>
    <row r="263" spans="3:13" s="113" customFormat="1" ht="20.100000000000001" customHeight="1">
      <c r="C263" s="114"/>
      <c r="E263" s="116"/>
      <c r="F263" s="116"/>
      <c r="G263" s="116"/>
      <c r="H263" s="114"/>
      <c r="I263" s="114"/>
      <c r="J263" s="114"/>
      <c r="K263" s="115"/>
      <c r="M263" s="114"/>
    </row>
    <row r="264" spans="3:13" s="113" customFormat="1" ht="20.100000000000001" customHeight="1">
      <c r="C264" s="114"/>
      <c r="E264" s="116"/>
      <c r="F264" s="116"/>
      <c r="G264" s="116"/>
      <c r="H264" s="114"/>
      <c r="I264" s="114"/>
      <c r="J264" s="114"/>
      <c r="K264" s="115"/>
      <c r="M264" s="114"/>
    </row>
    <row r="265" spans="3:13" s="113" customFormat="1" ht="20.100000000000001" customHeight="1">
      <c r="C265" s="114"/>
      <c r="E265" s="116"/>
      <c r="F265" s="116"/>
      <c r="G265" s="116"/>
      <c r="H265" s="114"/>
      <c r="I265" s="114"/>
      <c r="J265" s="114"/>
      <c r="K265" s="115"/>
      <c r="M265" s="114"/>
    </row>
    <row r="266" spans="3:13" s="113" customFormat="1" ht="20.100000000000001" customHeight="1">
      <c r="C266" s="114"/>
      <c r="E266" s="116"/>
      <c r="F266" s="116"/>
      <c r="G266" s="116"/>
      <c r="H266" s="114"/>
      <c r="I266" s="114"/>
      <c r="J266" s="114"/>
      <c r="K266" s="115"/>
      <c r="M266" s="114"/>
    </row>
    <row r="267" spans="3:13" s="113" customFormat="1" ht="20.100000000000001" customHeight="1">
      <c r="C267" s="114"/>
      <c r="E267" s="116"/>
      <c r="F267" s="116"/>
      <c r="G267" s="116"/>
      <c r="H267" s="114"/>
      <c r="I267" s="114"/>
      <c r="J267" s="114"/>
      <c r="K267" s="115"/>
      <c r="M267" s="114"/>
    </row>
    <row r="268" spans="3:13" s="113" customFormat="1" ht="20.100000000000001" customHeight="1">
      <c r="C268" s="114"/>
      <c r="E268" s="116"/>
      <c r="F268" s="116"/>
      <c r="G268" s="116"/>
      <c r="H268" s="114"/>
      <c r="I268" s="114"/>
      <c r="J268" s="114"/>
      <c r="K268" s="115"/>
      <c r="M268" s="114"/>
    </row>
    <row r="269" spans="3:13" s="113" customFormat="1" ht="20.100000000000001" customHeight="1">
      <c r="C269" s="114"/>
      <c r="E269" s="116"/>
      <c r="F269" s="116"/>
      <c r="G269" s="116"/>
      <c r="H269" s="114"/>
      <c r="I269" s="114"/>
      <c r="J269" s="114"/>
      <c r="K269" s="115"/>
      <c r="M269" s="114"/>
    </row>
    <row r="270" spans="3:13" s="113" customFormat="1" ht="20.100000000000001" customHeight="1">
      <c r="C270" s="114"/>
      <c r="E270" s="116"/>
      <c r="F270" s="116"/>
      <c r="G270" s="116"/>
      <c r="H270" s="114"/>
      <c r="I270" s="114"/>
      <c r="J270" s="114"/>
      <c r="K270" s="115"/>
      <c r="M270" s="114"/>
    </row>
    <row r="271" spans="3:13" s="113" customFormat="1" ht="20.100000000000001" customHeight="1">
      <c r="C271" s="114"/>
      <c r="E271" s="116"/>
      <c r="F271" s="116"/>
      <c r="G271" s="116"/>
      <c r="H271" s="114"/>
      <c r="I271" s="114"/>
      <c r="J271" s="114"/>
      <c r="K271" s="115"/>
      <c r="M271" s="114"/>
    </row>
    <row r="272" spans="3:13" s="113" customFormat="1" ht="20.100000000000001" customHeight="1">
      <c r="C272" s="114"/>
      <c r="E272" s="116"/>
      <c r="F272" s="116"/>
      <c r="G272" s="116"/>
      <c r="H272" s="114"/>
      <c r="I272" s="114"/>
      <c r="J272" s="114"/>
      <c r="K272" s="115"/>
      <c r="M272" s="114"/>
    </row>
    <row r="273" spans="3:13" s="113" customFormat="1" ht="20.100000000000001" customHeight="1">
      <c r="C273" s="114"/>
      <c r="E273" s="116"/>
      <c r="F273" s="116"/>
      <c r="G273" s="116"/>
      <c r="H273" s="114"/>
      <c r="I273" s="114"/>
      <c r="J273" s="114"/>
      <c r="K273" s="115"/>
      <c r="M273" s="114"/>
    </row>
    <row r="274" spans="3:13" s="113" customFormat="1" ht="20.100000000000001" customHeight="1">
      <c r="C274" s="114"/>
      <c r="E274" s="116"/>
      <c r="F274" s="116"/>
      <c r="G274" s="116"/>
      <c r="H274" s="114"/>
      <c r="I274" s="114"/>
      <c r="J274" s="114"/>
      <c r="K274" s="115"/>
      <c r="M274" s="114"/>
    </row>
    <row r="275" spans="3:13" s="113" customFormat="1" ht="20.100000000000001" customHeight="1">
      <c r="C275" s="114"/>
      <c r="E275" s="116"/>
      <c r="F275" s="116"/>
      <c r="G275" s="116"/>
      <c r="H275" s="114"/>
      <c r="I275" s="114"/>
      <c r="J275" s="114"/>
      <c r="K275" s="115"/>
      <c r="M275" s="114"/>
    </row>
    <row r="276" spans="3:13" s="113" customFormat="1" ht="20.100000000000001" customHeight="1">
      <c r="C276" s="114"/>
      <c r="E276" s="116"/>
      <c r="F276" s="116"/>
      <c r="G276" s="116"/>
      <c r="H276" s="114"/>
      <c r="I276" s="114"/>
      <c r="J276" s="114"/>
      <c r="K276" s="115"/>
      <c r="M276" s="114"/>
    </row>
    <row r="277" spans="3:13" s="113" customFormat="1" ht="20.100000000000001" customHeight="1">
      <c r="C277" s="114"/>
      <c r="E277" s="116"/>
      <c r="F277" s="116"/>
      <c r="G277" s="116"/>
      <c r="H277" s="114"/>
      <c r="I277" s="114"/>
      <c r="J277" s="114"/>
      <c r="K277" s="115"/>
      <c r="M277" s="114"/>
    </row>
    <row r="278" spans="3:13" s="113" customFormat="1" ht="20.100000000000001" customHeight="1">
      <c r="C278" s="114"/>
      <c r="E278" s="116"/>
      <c r="F278" s="116"/>
      <c r="G278" s="116"/>
      <c r="H278" s="114"/>
      <c r="I278" s="114"/>
      <c r="J278" s="114"/>
      <c r="K278" s="115"/>
      <c r="M278" s="114"/>
    </row>
    <row r="279" spans="3:13" s="113" customFormat="1" ht="20.100000000000001" customHeight="1">
      <c r="C279" s="114"/>
      <c r="E279" s="116"/>
      <c r="F279" s="116"/>
      <c r="G279" s="116"/>
      <c r="H279" s="114"/>
      <c r="I279" s="114"/>
      <c r="J279" s="114"/>
      <c r="K279" s="115"/>
      <c r="M279" s="114"/>
    </row>
    <row r="280" spans="3:13" s="113" customFormat="1" ht="20.100000000000001" customHeight="1">
      <c r="C280" s="114"/>
      <c r="E280" s="116"/>
      <c r="F280" s="116"/>
      <c r="G280" s="116"/>
      <c r="H280" s="114"/>
      <c r="I280" s="114"/>
      <c r="J280" s="114"/>
      <c r="K280" s="115"/>
      <c r="M280" s="114"/>
    </row>
    <row r="281" spans="3:13" s="113" customFormat="1" ht="20.100000000000001" customHeight="1">
      <c r="C281" s="114"/>
      <c r="E281" s="116"/>
      <c r="F281" s="116"/>
      <c r="G281" s="116"/>
      <c r="H281" s="114"/>
      <c r="I281" s="114"/>
      <c r="J281" s="114"/>
      <c r="K281" s="115"/>
      <c r="M281" s="114"/>
    </row>
    <row r="282" spans="3:13" s="113" customFormat="1" ht="20.100000000000001" customHeight="1">
      <c r="C282" s="114"/>
      <c r="E282" s="116"/>
      <c r="F282" s="116"/>
      <c r="G282" s="116"/>
      <c r="H282" s="114"/>
      <c r="I282" s="114"/>
      <c r="J282" s="114"/>
      <c r="K282" s="115"/>
      <c r="M282" s="114"/>
    </row>
    <row r="283" spans="3:13" s="113" customFormat="1" ht="20.100000000000001" customHeight="1">
      <c r="C283" s="114"/>
      <c r="E283" s="116"/>
      <c r="F283" s="116"/>
      <c r="G283" s="116"/>
      <c r="H283" s="114"/>
      <c r="I283" s="114"/>
      <c r="J283" s="114"/>
      <c r="K283" s="115"/>
      <c r="M283" s="114"/>
    </row>
    <row r="284" spans="3:13" s="113" customFormat="1" ht="20.100000000000001" customHeight="1">
      <c r="C284" s="114"/>
      <c r="E284" s="116"/>
      <c r="F284" s="116"/>
      <c r="G284" s="116"/>
      <c r="H284" s="114"/>
      <c r="I284" s="114"/>
      <c r="J284" s="114"/>
      <c r="K284" s="115"/>
      <c r="M284" s="114"/>
    </row>
    <row r="285" spans="3:13" s="113" customFormat="1" ht="20.100000000000001" customHeight="1">
      <c r="C285" s="114"/>
      <c r="E285" s="116"/>
      <c r="F285" s="116"/>
      <c r="G285" s="116"/>
      <c r="H285" s="114"/>
      <c r="I285" s="114"/>
      <c r="J285" s="114"/>
      <c r="K285" s="115"/>
      <c r="M285" s="114"/>
    </row>
    <row r="286" spans="3:13" s="113" customFormat="1" ht="20.100000000000001" customHeight="1">
      <c r="C286" s="114"/>
      <c r="E286" s="116"/>
      <c r="F286" s="116"/>
      <c r="G286" s="116"/>
      <c r="H286" s="114"/>
      <c r="I286" s="114"/>
      <c r="J286" s="114"/>
      <c r="K286" s="115"/>
      <c r="M286" s="114"/>
    </row>
    <row r="287" spans="3:13" s="113" customFormat="1" ht="20.100000000000001" customHeight="1">
      <c r="C287" s="114"/>
      <c r="E287" s="116"/>
      <c r="F287" s="116"/>
      <c r="G287" s="116"/>
      <c r="H287" s="114"/>
      <c r="I287" s="114"/>
      <c r="J287" s="114"/>
      <c r="K287" s="115"/>
      <c r="M287" s="114"/>
    </row>
    <row r="288" spans="3:13" s="113" customFormat="1" ht="20.100000000000001" customHeight="1">
      <c r="C288" s="114"/>
      <c r="E288" s="116"/>
      <c r="F288" s="116"/>
      <c r="G288" s="116"/>
      <c r="H288" s="114"/>
      <c r="I288" s="114"/>
      <c r="J288" s="114"/>
      <c r="K288" s="115"/>
      <c r="M288" s="114"/>
    </row>
    <row r="289" spans="3:13" s="113" customFormat="1" ht="20.100000000000001" customHeight="1">
      <c r="C289" s="114"/>
      <c r="E289" s="116"/>
      <c r="F289" s="116"/>
      <c r="G289" s="116"/>
      <c r="H289" s="114"/>
      <c r="I289" s="114"/>
      <c r="J289" s="114"/>
      <c r="K289" s="115"/>
      <c r="M289" s="114"/>
    </row>
    <row r="290" spans="3:13" s="113" customFormat="1" ht="20.100000000000001" customHeight="1">
      <c r="C290" s="114"/>
      <c r="E290" s="116"/>
      <c r="F290" s="116"/>
      <c r="G290" s="116"/>
      <c r="H290" s="114"/>
      <c r="I290" s="114"/>
      <c r="J290" s="114"/>
      <c r="K290" s="115"/>
      <c r="M290" s="114"/>
    </row>
    <row r="291" spans="3:13" s="113" customFormat="1" ht="20.100000000000001" customHeight="1">
      <c r="C291" s="114"/>
      <c r="E291" s="116"/>
      <c r="F291" s="116"/>
      <c r="G291" s="116"/>
      <c r="H291" s="114"/>
      <c r="I291" s="114"/>
      <c r="J291" s="114"/>
      <c r="K291" s="115"/>
      <c r="M291" s="114"/>
    </row>
    <row r="292" spans="3:13" s="113" customFormat="1" ht="20.100000000000001" customHeight="1">
      <c r="C292" s="114"/>
      <c r="E292" s="116"/>
      <c r="F292" s="116"/>
      <c r="G292" s="116"/>
      <c r="H292" s="114"/>
      <c r="I292" s="114"/>
      <c r="J292" s="114"/>
      <c r="K292" s="115"/>
      <c r="M292" s="114"/>
    </row>
    <row r="293" spans="3:13" s="113" customFormat="1" ht="20.100000000000001" customHeight="1">
      <c r="C293" s="114"/>
      <c r="E293" s="116"/>
      <c r="F293" s="116"/>
      <c r="G293" s="116"/>
      <c r="H293" s="114"/>
      <c r="I293" s="114"/>
      <c r="J293" s="114"/>
      <c r="K293" s="115"/>
      <c r="M293" s="114"/>
    </row>
    <row r="294" spans="3:13" s="113" customFormat="1" ht="20.100000000000001" customHeight="1">
      <c r="C294" s="114"/>
      <c r="E294" s="116"/>
      <c r="F294" s="116"/>
      <c r="G294" s="116"/>
      <c r="H294" s="114"/>
      <c r="I294" s="114"/>
      <c r="J294" s="114"/>
      <c r="K294" s="115"/>
      <c r="M294" s="114"/>
    </row>
    <row r="295" spans="3:13" s="113" customFormat="1" ht="20.100000000000001" customHeight="1">
      <c r="C295" s="114"/>
      <c r="E295" s="116"/>
      <c r="F295" s="116"/>
      <c r="G295" s="116"/>
      <c r="H295" s="114"/>
      <c r="I295" s="114"/>
      <c r="J295" s="114"/>
      <c r="K295" s="115"/>
      <c r="M295" s="114"/>
    </row>
    <row r="296" spans="3:13" s="113" customFormat="1" ht="20.100000000000001" customHeight="1">
      <c r="C296" s="114"/>
      <c r="E296" s="116"/>
      <c r="F296" s="116"/>
      <c r="G296" s="116"/>
      <c r="H296" s="114"/>
      <c r="I296" s="114"/>
      <c r="J296" s="114"/>
      <c r="K296" s="115"/>
      <c r="M296" s="114"/>
    </row>
    <row r="297" spans="3:13" s="113" customFormat="1" ht="20.100000000000001" customHeight="1">
      <c r="C297" s="114"/>
      <c r="E297" s="116"/>
      <c r="F297" s="116"/>
      <c r="G297" s="116"/>
      <c r="H297" s="114"/>
      <c r="I297" s="114"/>
      <c r="J297" s="114"/>
      <c r="K297" s="115"/>
      <c r="M297" s="114"/>
    </row>
    <row r="298" spans="3:13" s="113" customFormat="1" ht="20.100000000000001" customHeight="1">
      <c r="C298" s="114"/>
      <c r="E298" s="116"/>
      <c r="F298" s="116"/>
      <c r="G298" s="116"/>
      <c r="H298" s="114"/>
      <c r="I298" s="114"/>
      <c r="J298" s="114"/>
      <c r="K298" s="115"/>
      <c r="M298" s="114"/>
    </row>
    <row r="299" spans="3:13" s="113" customFormat="1" ht="20.100000000000001" customHeight="1">
      <c r="C299" s="114"/>
      <c r="E299" s="116"/>
      <c r="F299" s="116"/>
      <c r="G299" s="116"/>
      <c r="H299" s="114"/>
      <c r="I299" s="114"/>
      <c r="J299" s="114"/>
      <c r="K299" s="115"/>
      <c r="M299" s="114"/>
    </row>
    <row r="300" spans="3:13" s="113" customFormat="1" ht="20.100000000000001" customHeight="1">
      <c r="C300" s="114"/>
      <c r="E300" s="116"/>
      <c r="F300" s="116"/>
      <c r="G300" s="116"/>
      <c r="H300" s="114"/>
      <c r="I300" s="114"/>
      <c r="J300" s="114"/>
      <c r="K300" s="115"/>
      <c r="M300" s="114"/>
    </row>
    <row r="301" spans="3:13" s="113" customFormat="1" ht="20.100000000000001" customHeight="1">
      <c r="C301" s="114"/>
      <c r="E301" s="116"/>
      <c r="F301" s="116"/>
      <c r="G301" s="116"/>
      <c r="H301" s="114"/>
      <c r="I301" s="114"/>
      <c r="J301" s="114"/>
      <c r="K301" s="115"/>
      <c r="M301" s="114"/>
    </row>
    <row r="302" spans="3:13" s="113" customFormat="1" ht="20.100000000000001" customHeight="1">
      <c r="C302" s="114"/>
      <c r="E302" s="116"/>
      <c r="F302" s="116"/>
      <c r="G302" s="116"/>
      <c r="H302" s="114"/>
      <c r="I302" s="114"/>
      <c r="J302" s="114"/>
      <c r="K302" s="115"/>
      <c r="M302" s="114"/>
    </row>
    <row r="303" spans="3:13" s="113" customFormat="1" ht="20.100000000000001" customHeight="1">
      <c r="C303" s="114"/>
      <c r="E303" s="116"/>
      <c r="F303" s="116"/>
      <c r="G303" s="116"/>
      <c r="H303" s="114"/>
      <c r="I303" s="114"/>
      <c r="J303" s="114"/>
      <c r="K303" s="115"/>
      <c r="M303" s="114"/>
    </row>
    <row r="304" spans="3:13" s="113" customFormat="1" ht="20.100000000000001" customHeight="1">
      <c r="C304" s="114"/>
      <c r="E304" s="116"/>
      <c r="F304" s="116"/>
      <c r="G304" s="116"/>
      <c r="H304" s="114"/>
      <c r="I304" s="114"/>
      <c r="J304" s="114"/>
      <c r="K304" s="115"/>
      <c r="M304" s="114"/>
    </row>
    <row r="305" spans="3:13" s="113" customFormat="1" ht="20.100000000000001" customHeight="1">
      <c r="C305" s="114"/>
      <c r="E305" s="116"/>
      <c r="F305" s="116"/>
      <c r="G305" s="116"/>
      <c r="H305" s="114"/>
      <c r="I305" s="114"/>
      <c r="J305" s="114"/>
      <c r="K305" s="115"/>
      <c r="M305" s="114"/>
    </row>
    <row r="306" spans="3:13" s="113" customFormat="1" ht="20.100000000000001" customHeight="1">
      <c r="C306" s="114"/>
      <c r="E306" s="116"/>
      <c r="F306" s="116"/>
      <c r="G306" s="116"/>
      <c r="H306" s="114"/>
      <c r="I306" s="114"/>
      <c r="J306" s="114"/>
      <c r="K306" s="115"/>
      <c r="M306" s="114"/>
    </row>
    <row r="307" spans="3:13" s="113" customFormat="1" ht="20.100000000000001" customHeight="1">
      <c r="C307" s="114"/>
      <c r="E307" s="116"/>
      <c r="F307" s="116"/>
      <c r="G307" s="116"/>
      <c r="H307" s="114"/>
      <c r="I307" s="114"/>
      <c r="J307" s="114"/>
      <c r="K307" s="115"/>
      <c r="M307" s="114"/>
    </row>
    <row r="308" spans="3:13" s="113" customFormat="1" ht="20.100000000000001" customHeight="1">
      <c r="C308" s="114"/>
      <c r="E308" s="116"/>
      <c r="F308" s="116"/>
      <c r="G308" s="116"/>
      <c r="H308" s="114"/>
      <c r="I308" s="114"/>
      <c r="J308" s="114"/>
      <c r="K308" s="115"/>
      <c r="M308" s="114"/>
    </row>
    <row r="309" spans="3:13" s="113" customFormat="1" ht="20.100000000000001" customHeight="1">
      <c r="C309" s="114"/>
      <c r="E309" s="116"/>
      <c r="F309" s="116"/>
      <c r="G309" s="116"/>
      <c r="H309" s="114"/>
      <c r="I309" s="114"/>
      <c r="J309" s="114"/>
      <c r="K309" s="115"/>
      <c r="M309" s="114"/>
    </row>
    <row r="310" spans="3:13" s="113" customFormat="1" ht="20.100000000000001" customHeight="1">
      <c r="C310" s="114"/>
      <c r="E310" s="116"/>
      <c r="F310" s="116"/>
      <c r="G310" s="116"/>
      <c r="H310" s="114"/>
      <c r="I310" s="114"/>
      <c r="J310" s="114"/>
      <c r="K310" s="115"/>
      <c r="M310" s="114"/>
    </row>
    <row r="311" spans="3:13" s="113" customFormat="1" ht="20.100000000000001" customHeight="1">
      <c r="C311" s="114"/>
      <c r="E311" s="116"/>
      <c r="F311" s="116"/>
      <c r="G311" s="116"/>
      <c r="H311" s="114"/>
      <c r="I311" s="114"/>
      <c r="J311" s="114"/>
      <c r="K311" s="115"/>
      <c r="M311" s="114"/>
    </row>
    <row r="312" spans="3:13" s="113" customFormat="1" ht="20.100000000000001" customHeight="1">
      <c r="C312" s="114"/>
      <c r="E312" s="116"/>
      <c r="F312" s="116"/>
      <c r="G312" s="116"/>
      <c r="H312" s="114"/>
      <c r="I312" s="114"/>
      <c r="J312" s="114"/>
      <c r="K312" s="115"/>
      <c r="M312" s="114"/>
    </row>
    <row r="313" spans="3:13" s="113" customFormat="1" ht="20.100000000000001" customHeight="1">
      <c r="C313" s="114"/>
      <c r="E313" s="116"/>
      <c r="F313" s="116"/>
      <c r="G313" s="116"/>
      <c r="H313" s="114"/>
      <c r="I313" s="114"/>
      <c r="J313" s="114"/>
      <c r="K313" s="115"/>
      <c r="M313" s="114"/>
    </row>
    <row r="314" spans="3:13" s="113" customFormat="1" ht="20.100000000000001" customHeight="1">
      <c r="C314" s="114"/>
      <c r="E314" s="116"/>
      <c r="F314" s="116"/>
      <c r="G314" s="116"/>
      <c r="H314" s="114"/>
      <c r="I314" s="114"/>
      <c r="J314" s="114"/>
      <c r="K314" s="115"/>
      <c r="M314" s="114"/>
    </row>
    <row r="315" spans="3:13" s="113" customFormat="1" ht="20.100000000000001" customHeight="1">
      <c r="C315" s="114"/>
      <c r="E315" s="116"/>
      <c r="F315" s="116"/>
      <c r="G315" s="116"/>
      <c r="H315" s="114"/>
      <c r="I315" s="114"/>
      <c r="J315" s="114"/>
      <c r="K315" s="115"/>
      <c r="M315" s="114"/>
    </row>
    <row r="316" spans="3:13" s="113" customFormat="1" ht="20.100000000000001" customHeight="1">
      <c r="C316" s="114"/>
      <c r="E316" s="116"/>
      <c r="F316" s="116"/>
      <c r="G316" s="116"/>
      <c r="H316" s="114"/>
      <c r="I316" s="114"/>
      <c r="J316" s="114"/>
      <c r="K316" s="115"/>
      <c r="M316" s="114"/>
    </row>
    <row r="317" spans="3:13" s="113" customFormat="1" ht="20.100000000000001" customHeight="1">
      <c r="C317" s="114"/>
      <c r="E317" s="116"/>
      <c r="F317" s="116"/>
      <c r="G317" s="116"/>
      <c r="H317" s="114"/>
      <c r="I317" s="114"/>
      <c r="J317" s="114"/>
      <c r="K317" s="115"/>
      <c r="M317" s="114"/>
    </row>
    <row r="318" spans="3:13" s="113" customFormat="1" ht="20.100000000000001" customHeight="1">
      <c r="C318" s="114"/>
      <c r="E318" s="116"/>
      <c r="F318" s="116"/>
      <c r="G318" s="116"/>
      <c r="H318" s="114"/>
      <c r="I318" s="114"/>
      <c r="J318" s="114"/>
      <c r="K318" s="115"/>
      <c r="M318" s="114"/>
    </row>
    <row r="319" spans="3:13" s="113" customFormat="1" ht="20.100000000000001" customHeight="1">
      <c r="C319" s="114"/>
      <c r="E319" s="116"/>
      <c r="F319" s="116"/>
      <c r="G319" s="116"/>
      <c r="H319" s="114"/>
      <c r="I319" s="114"/>
      <c r="J319" s="114"/>
      <c r="K319" s="115"/>
      <c r="M319" s="114"/>
    </row>
    <row r="320" spans="3:13" s="113" customFormat="1" ht="20.100000000000001" customHeight="1">
      <c r="C320" s="114"/>
      <c r="E320" s="116"/>
      <c r="F320" s="116"/>
      <c r="G320" s="116"/>
      <c r="H320" s="114"/>
      <c r="I320" s="114"/>
      <c r="J320" s="114"/>
      <c r="K320" s="115"/>
      <c r="M320" s="114"/>
    </row>
    <row r="321" spans="3:13" s="113" customFormat="1" ht="20.100000000000001" customHeight="1">
      <c r="C321" s="114"/>
      <c r="E321" s="116"/>
      <c r="F321" s="116"/>
      <c r="G321" s="116"/>
      <c r="H321" s="114"/>
      <c r="I321" s="114"/>
      <c r="J321" s="114"/>
      <c r="K321" s="115"/>
      <c r="M321" s="114"/>
    </row>
  </sheetData>
  <mergeCells count="5">
    <mergeCell ref="I1:K1"/>
    <mergeCell ref="E3:G3"/>
    <mergeCell ref="E4:G4"/>
    <mergeCell ref="ICU4:ICU6"/>
    <mergeCell ref="D5:G5"/>
  </mergeCells>
  <phoneticPr fontId="4" type="noConversion"/>
  <printOptions horizontalCentered="1"/>
  <pageMargins left="0.19685039370078741" right="0.19685039370078741" top="0.43307086614173229" bottom="0.39370078740157483" header="0.31496062992125984" footer="0.31496062992125984"/>
  <pageSetup paperSize="9" scale="51" fitToHeight="0" orientation="portrait" r:id="rId1"/>
  <rowBreaks count="2" manualBreakCount="2">
    <brk id="19" min="1" max="10" man="1"/>
    <brk id="35" min="1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9"/>
  <sheetViews>
    <sheetView tabSelected="1" view="pageBreakPreview" topLeftCell="A82" zoomScale="85" zoomScaleNormal="100" zoomScaleSheetLayoutView="85" workbookViewId="0">
      <selection activeCell="F105" sqref="F105"/>
    </sheetView>
  </sheetViews>
  <sheetFormatPr defaultRowHeight="16.5"/>
  <cols>
    <col min="1" max="1" width="3" customWidth="1"/>
    <col min="2" max="2" width="2" customWidth="1"/>
    <col min="3" max="3" width="5.625" style="121" customWidth="1"/>
    <col min="4" max="4" width="86.875" customWidth="1"/>
    <col min="5" max="7" width="7.125" style="122" customWidth="1"/>
    <col min="8" max="9" width="7.625" style="121" customWidth="1"/>
    <col min="10" max="10" width="17" style="121" customWidth="1"/>
    <col min="11" max="11" width="56.625" style="123" customWidth="1"/>
    <col min="12" max="12" width="6" style="117" customWidth="1"/>
    <col min="13" max="13" width="7.625" style="121" customWidth="1"/>
    <col min="14" max="14" width="18.625" style="119" customWidth="1"/>
    <col min="15" max="15" width="30.875" style="119" bestFit="1" customWidth="1"/>
    <col min="16" max="16" width="8.75" style="124"/>
  </cols>
  <sheetData>
    <row r="1" spans="3:16" s="7" customFormat="1" ht="41.45" customHeight="1" thickBot="1">
      <c r="C1" s="1"/>
      <c r="D1" s="2" t="s">
        <v>0</v>
      </c>
      <c r="E1" s="3"/>
      <c r="F1" s="3"/>
      <c r="G1" s="3"/>
      <c r="H1" s="1"/>
      <c r="I1" s="1"/>
      <c r="J1" s="270" t="s">
        <v>1</v>
      </c>
      <c r="K1" s="271"/>
      <c r="L1" s="4"/>
      <c r="M1" s="1"/>
      <c r="N1" s="5"/>
      <c r="O1" s="5"/>
      <c r="P1" s="6"/>
    </row>
    <row r="2" spans="3:16" s="7" customFormat="1" ht="9.9499999999999993" hidden="1" customHeight="1">
      <c r="C2" s="1"/>
      <c r="E2" s="3"/>
      <c r="F2" s="3"/>
      <c r="G2" s="3"/>
      <c r="H2" s="1"/>
      <c r="I2" s="1"/>
      <c r="J2" s="1"/>
      <c r="K2" s="8"/>
      <c r="L2" s="4"/>
      <c r="M2" s="1"/>
      <c r="N2" s="5"/>
      <c r="O2" s="5"/>
      <c r="P2" s="6"/>
    </row>
    <row r="3" spans="3:16" s="7" customFormat="1" ht="39.950000000000003" customHeight="1" thickBot="1">
      <c r="C3" s="9"/>
      <c r="D3" s="10" t="s">
        <v>2</v>
      </c>
      <c r="E3" s="272" t="s">
        <v>3</v>
      </c>
      <c r="F3" s="273"/>
      <c r="G3" s="274"/>
      <c r="H3" s="11" t="s">
        <v>4</v>
      </c>
      <c r="I3" s="11" t="s">
        <v>5</v>
      </c>
      <c r="J3" s="11" t="s">
        <v>6</v>
      </c>
      <c r="K3" s="12" t="s">
        <v>7</v>
      </c>
      <c r="L3" s="275"/>
      <c r="M3" s="276"/>
      <c r="N3" s="276"/>
      <c r="O3" s="276"/>
      <c r="P3" s="6"/>
    </row>
    <row r="4" spans="3:16" s="7" customFormat="1" ht="39.75" customHeight="1" thickBot="1">
      <c r="C4" s="13"/>
      <c r="D4" s="14" t="s">
        <v>8</v>
      </c>
      <c r="E4" s="277" t="s">
        <v>9</v>
      </c>
      <c r="F4" s="278"/>
      <c r="G4" s="279"/>
      <c r="H4" s="15">
        <f>H5+H20+H29+H36+H64+H73+H52+H84+H90+H97+H102</f>
        <v>500</v>
      </c>
      <c r="I4" s="15">
        <f>I5+I20+I29+I36+I64+I73+I52+I84+I90+I97+I102</f>
        <v>0</v>
      </c>
      <c r="J4" s="16">
        <f>I4/H4*100</f>
        <v>0</v>
      </c>
      <c r="K4" s="17"/>
      <c r="L4" s="18"/>
      <c r="M4" s="15">
        <f>M5+M20+M29+M36+M64+M73+M52+M84+M90+M97+M102+M107</f>
        <v>520</v>
      </c>
      <c r="N4" s="19"/>
      <c r="O4" s="19"/>
      <c r="P4" s="6"/>
    </row>
    <row r="5" spans="3:16" s="30" customFormat="1" ht="19.5" customHeight="1">
      <c r="C5" s="20"/>
      <c r="D5" s="21" t="s">
        <v>10</v>
      </c>
      <c r="E5" s="22" t="s">
        <v>11</v>
      </c>
      <c r="F5" s="23" t="s">
        <v>12</v>
      </c>
      <c r="G5" s="23" t="s">
        <v>13</v>
      </c>
      <c r="H5" s="24">
        <f>SUM(H6:H19)-COUNTIF(I6:I19,"False")*5</f>
        <v>90</v>
      </c>
      <c r="I5" s="24">
        <f>SUM(I6:I19)</f>
        <v>0</v>
      </c>
      <c r="J5" s="25">
        <f>IF(I5=0,(0),SUM(J6:J19))</f>
        <v>0</v>
      </c>
      <c r="K5" s="26"/>
      <c r="L5" s="27"/>
      <c r="M5" s="28">
        <f>SUM(M6:M19)-COUNTIF(N6:N19,"False")*5</f>
        <v>85</v>
      </c>
      <c r="N5" s="29"/>
      <c r="O5" s="29"/>
      <c r="P5" s="5"/>
    </row>
    <row r="6" spans="3:16" s="7" customFormat="1" ht="147" customHeight="1">
      <c r="C6" s="31">
        <v>1</v>
      </c>
      <c r="D6" s="32" t="s">
        <v>14</v>
      </c>
      <c r="E6" s="33"/>
      <c r="F6" s="33"/>
      <c r="G6" s="33"/>
      <c r="H6" s="34">
        <v>5</v>
      </c>
      <c r="I6" s="35">
        <f>IF(E6="O",5,IF(F6="O",2.5,IF(G6="O",0,0)))</f>
        <v>0</v>
      </c>
      <c r="J6" s="36">
        <f>I6*100/$H$5</f>
        <v>0</v>
      </c>
      <c r="K6" s="37"/>
      <c r="L6" s="280"/>
      <c r="M6" s="34">
        <v>5</v>
      </c>
      <c r="N6" s="281"/>
      <c r="O6" s="281"/>
      <c r="P6" s="6"/>
    </row>
    <row r="7" spans="3:16" s="7" customFormat="1" ht="125.45" customHeight="1">
      <c r="C7" s="38">
        <v>2</v>
      </c>
      <c r="D7" s="39" t="s">
        <v>15</v>
      </c>
      <c r="E7" s="33"/>
      <c r="F7" s="40"/>
      <c r="G7" s="40"/>
      <c r="H7" s="34">
        <v>5</v>
      </c>
      <c r="I7" s="34">
        <f>IF(E7="O",5,IF(F7="O",2.5,IF(G7="O",0,0)))</f>
        <v>0</v>
      </c>
      <c r="J7" s="41">
        <f>I7*100/$H$5</f>
        <v>0</v>
      </c>
      <c r="K7" s="37"/>
      <c r="L7" s="280"/>
      <c r="M7" s="34">
        <v>5</v>
      </c>
      <c r="N7" s="281"/>
      <c r="O7" s="281"/>
      <c r="P7" s="6"/>
    </row>
    <row r="8" spans="3:16" s="7" customFormat="1" ht="112.9" customHeight="1">
      <c r="C8" s="38">
        <v>3</v>
      </c>
      <c r="D8" s="32" t="s">
        <v>16</v>
      </c>
      <c r="E8" s="33"/>
      <c r="F8" s="33"/>
      <c r="G8" s="33"/>
      <c r="H8" s="34">
        <v>5</v>
      </c>
      <c r="I8" s="35">
        <f t="shared" ref="I8:I51" si="0">IF(E8="O",5,IF(F8="O",2.5,IF(G8="O",0,0)))</f>
        <v>0</v>
      </c>
      <c r="J8" s="36">
        <f t="shared" ref="J8:J16" si="1">I8*100/$H$5</f>
        <v>0</v>
      </c>
      <c r="K8" s="42"/>
      <c r="L8" s="280"/>
      <c r="M8" s="34">
        <v>5</v>
      </c>
      <c r="N8" s="281"/>
      <c r="O8" s="281"/>
      <c r="P8" s="6"/>
    </row>
    <row r="9" spans="3:16" s="7" customFormat="1" ht="103.9" customHeight="1">
      <c r="C9" s="38">
        <v>4</v>
      </c>
      <c r="D9" s="32" t="s">
        <v>17</v>
      </c>
      <c r="E9" s="33"/>
      <c r="F9" s="33"/>
      <c r="G9" s="33"/>
      <c r="H9" s="34">
        <v>5</v>
      </c>
      <c r="I9" s="35">
        <f t="shared" si="0"/>
        <v>0</v>
      </c>
      <c r="J9" s="36">
        <f t="shared" si="1"/>
        <v>0</v>
      </c>
      <c r="K9" s="43"/>
      <c r="L9" s="280"/>
      <c r="M9" s="34">
        <v>5</v>
      </c>
      <c r="N9" s="281"/>
      <c r="O9" s="281"/>
      <c r="P9" s="6"/>
    </row>
    <row r="10" spans="3:16" s="7" customFormat="1" ht="151.15" customHeight="1">
      <c r="C10" s="38">
        <v>5</v>
      </c>
      <c r="D10" s="44" t="s">
        <v>18</v>
      </c>
      <c r="E10" s="40"/>
      <c r="F10" s="33"/>
      <c r="G10" s="33"/>
      <c r="H10" s="34">
        <v>10</v>
      </c>
      <c r="I10" s="35">
        <f>IF(E10="O",10,IF(F10="O",5,IF(G10="O",0,0)))</f>
        <v>0</v>
      </c>
      <c r="J10" s="36">
        <f t="shared" si="1"/>
        <v>0</v>
      </c>
      <c r="K10" s="45"/>
      <c r="L10" s="280"/>
      <c r="M10" s="34">
        <v>10</v>
      </c>
      <c r="N10" s="281"/>
      <c r="O10" s="281"/>
      <c r="P10" s="6"/>
    </row>
    <row r="11" spans="3:16" s="7" customFormat="1" ht="136.15" customHeight="1">
      <c r="C11" s="46">
        <v>6</v>
      </c>
      <c r="D11" s="47" t="s">
        <v>19</v>
      </c>
      <c r="E11" s="40"/>
      <c r="F11" s="40"/>
      <c r="G11" s="40"/>
      <c r="H11" s="34">
        <v>15</v>
      </c>
      <c r="I11" s="34">
        <f>IF(E11="O",15,IF(F11="O",7.5,IF(G11="O",0,0)))</f>
        <v>0</v>
      </c>
      <c r="J11" s="41">
        <f t="shared" si="1"/>
        <v>0</v>
      </c>
      <c r="K11" s="43"/>
      <c r="L11" s="280"/>
      <c r="M11" s="34">
        <v>10</v>
      </c>
      <c r="N11" s="281"/>
      <c r="O11" s="281"/>
      <c r="P11" s="6"/>
    </row>
    <row r="12" spans="3:16" s="7" customFormat="1" ht="123" customHeight="1">
      <c r="C12" s="38">
        <v>7</v>
      </c>
      <c r="D12" s="32" t="s">
        <v>20</v>
      </c>
      <c r="E12" s="40"/>
      <c r="F12" s="33"/>
      <c r="G12" s="33"/>
      <c r="H12" s="48">
        <v>5</v>
      </c>
      <c r="I12" s="35">
        <f t="shared" si="0"/>
        <v>0</v>
      </c>
      <c r="J12" s="36">
        <f t="shared" si="1"/>
        <v>0</v>
      </c>
      <c r="K12" s="37"/>
      <c r="L12" s="280"/>
      <c r="M12" s="48">
        <v>5</v>
      </c>
      <c r="N12" s="281"/>
      <c r="O12" s="281"/>
      <c r="P12" s="6"/>
    </row>
    <row r="13" spans="3:16" s="7" customFormat="1" ht="122.45" customHeight="1">
      <c r="C13" s="38">
        <v>8</v>
      </c>
      <c r="D13" s="32" t="s">
        <v>21</v>
      </c>
      <c r="E13" s="40"/>
      <c r="F13" s="33"/>
      <c r="G13" s="33"/>
      <c r="H13" s="48">
        <v>5</v>
      </c>
      <c r="I13" s="35">
        <f t="shared" si="0"/>
        <v>0</v>
      </c>
      <c r="J13" s="36">
        <f t="shared" si="1"/>
        <v>0</v>
      </c>
      <c r="K13" s="42"/>
      <c r="L13" s="280"/>
      <c r="M13" s="48">
        <v>5</v>
      </c>
      <c r="N13" s="281"/>
      <c r="O13" s="281"/>
      <c r="P13" s="6"/>
    </row>
    <row r="14" spans="3:16" s="7" customFormat="1" ht="94.9" customHeight="1">
      <c r="C14" s="38">
        <v>9</v>
      </c>
      <c r="D14" s="32" t="s">
        <v>22</v>
      </c>
      <c r="E14" s="40" t="s">
        <v>23</v>
      </c>
      <c r="F14" s="33"/>
      <c r="G14" s="33"/>
      <c r="H14" s="48">
        <v>5</v>
      </c>
      <c r="I14" s="35">
        <f t="shared" si="0"/>
        <v>0</v>
      </c>
      <c r="J14" s="36">
        <f t="shared" si="1"/>
        <v>0</v>
      </c>
      <c r="K14" s="45"/>
      <c r="L14" s="280"/>
      <c r="M14" s="48">
        <v>5</v>
      </c>
      <c r="N14" s="281"/>
      <c r="O14" s="281"/>
      <c r="P14" s="6"/>
    </row>
    <row r="15" spans="3:16" s="7" customFormat="1" ht="155.44999999999999" customHeight="1">
      <c r="C15" s="38">
        <v>10</v>
      </c>
      <c r="D15" s="32" t="s">
        <v>24</v>
      </c>
      <c r="E15" s="40" t="s">
        <v>25</v>
      </c>
      <c r="F15" s="33"/>
      <c r="G15" s="33"/>
      <c r="H15" s="48">
        <v>5</v>
      </c>
      <c r="I15" s="35">
        <f>IF(E15="O",5,IF(F15="O",2.5,IF(G15="O",0,0)))</f>
        <v>0</v>
      </c>
      <c r="J15" s="36">
        <f t="shared" si="1"/>
        <v>0</v>
      </c>
      <c r="K15" s="37"/>
      <c r="L15" s="280"/>
      <c r="M15" s="48">
        <v>5</v>
      </c>
      <c r="N15" s="281"/>
      <c r="O15" s="281"/>
      <c r="P15" s="6"/>
    </row>
    <row r="16" spans="3:16" s="7" customFormat="1" ht="53.45" customHeight="1">
      <c r="C16" s="38">
        <v>11</v>
      </c>
      <c r="D16" s="32" t="s">
        <v>26</v>
      </c>
      <c r="E16" s="40"/>
      <c r="F16" s="33"/>
      <c r="G16" s="33"/>
      <c r="H16" s="48">
        <v>5</v>
      </c>
      <c r="I16" s="35">
        <f>IF(E16="O",5,IF(F16="O",2.5,IF(G16="O",0,0)))</f>
        <v>0</v>
      </c>
      <c r="J16" s="36">
        <f t="shared" si="1"/>
        <v>0</v>
      </c>
      <c r="K16" s="37"/>
      <c r="L16" s="280"/>
      <c r="M16" s="48">
        <v>5</v>
      </c>
      <c r="N16" s="281"/>
      <c r="O16" s="281"/>
      <c r="P16" s="6"/>
    </row>
    <row r="17" spans="3:16" s="7" customFormat="1" ht="121.15" customHeight="1">
      <c r="C17" s="38">
        <v>12</v>
      </c>
      <c r="D17" s="32" t="s">
        <v>27</v>
      </c>
      <c r="E17" s="40"/>
      <c r="F17" s="33"/>
      <c r="G17" s="33"/>
      <c r="H17" s="48">
        <v>5</v>
      </c>
      <c r="I17" s="35">
        <f>IF(E17="O",5,IF(F17="O",2.5,IF(G17="O",0,0)))</f>
        <v>0</v>
      </c>
      <c r="J17" s="36">
        <f>I17*100/$H$5</f>
        <v>0</v>
      </c>
      <c r="K17" s="42"/>
      <c r="L17" s="280"/>
      <c r="M17" s="48">
        <v>5</v>
      </c>
      <c r="N17" s="281"/>
      <c r="O17" s="281"/>
      <c r="P17" s="6"/>
    </row>
    <row r="18" spans="3:16" s="7" customFormat="1" ht="109.9" customHeight="1">
      <c r="C18" s="38">
        <v>13</v>
      </c>
      <c r="D18" s="39" t="s">
        <v>28</v>
      </c>
      <c r="E18" s="40"/>
      <c r="F18" s="33"/>
      <c r="G18" s="33"/>
      <c r="H18" s="48">
        <v>10</v>
      </c>
      <c r="I18" s="35">
        <f>IF(E18="O",10,IF(F18="O",5,IF(G18="O",0,0)))</f>
        <v>0</v>
      </c>
      <c r="J18" s="36">
        <f>I18*100/$H$5</f>
        <v>0</v>
      </c>
      <c r="K18" s="42"/>
      <c r="L18" s="280"/>
      <c r="M18" s="48">
        <v>10</v>
      </c>
      <c r="N18" s="281"/>
      <c r="O18" s="281"/>
      <c r="P18" s="6"/>
    </row>
    <row r="19" spans="3:16" s="7" customFormat="1" ht="41.45" customHeight="1">
      <c r="C19" s="49">
        <v>14</v>
      </c>
      <c r="D19" s="50" t="s">
        <v>29</v>
      </c>
      <c r="E19" s="51"/>
      <c r="F19" s="51"/>
      <c r="G19" s="51"/>
      <c r="H19" s="52">
        <v>5</v>
      </c>
      <c r="I19" s="53">
        <f>IF(E19="O",5,IF(F19="O",2.5,IF(G19="O",0,0)))</f>
        <v>0</v>
      </c>
      <c r="J19" s="54">
        <f>I19*100/$H$5</f>
        <v>0</v>
      </c>
      <c r="K19" s="55"/>
      <c r="L19" s="280"/>
      <c r="M19" s="52">
        <v>5</v>
      </c>
      <c r="N19" s="281"/>
      <c r="O19" s="281"/>
      <c r="P19" s="6"/>
    </row>
    <row r="20" spans="3:16" s="30" customFormat="1" ht="19.5" customHeight="1">
      <c r="C20" s="56"/>
      <c r="D20" s="57" t="s">
        <v>30</v>
      </c>
      <c r="E20" s="58" t="s">
        <v>31</v>
      </c>
      <c r="F20" s="58" t="s">
        <v>32</v>
      </c>
      <c r="G20" s="58" t="s">
        <v>33</v>
      </c>
      <c r="H20" s="59">
        <f>SUM(H21:H28)-COUNTIF(I21:I28,"False")*5</f>
        <v>45</v>
      </c>
      <c r="I20" s="59">
        <f>SUM(I21:I28)</f>
        <v>0</v>
      </c>
      <c r="J20" s="60">
        <f>IF(I20=0,(0),SUM(J21:J28))</f>
        <v>0</v>
      </c>
      <c r="K20" s="61"/>
      <c r="L20" s="27"/>
      <c r="M20" s="62">
        <f>SUM(M21:M28)-COUNTIF(N21:N28,"False")*5</f>
        <v>45</v>
      </c>
      <c r="N20" s="29"/>
      <c r="O20" s="29"/>
      <c r="P20" s="5"/>
    </row>
    <row r="21" spans="3:16" s="7" customFormat="1" ht="34.5" customHeight="1">
      <c r="C21" s="63">
        <v>15</v>
      </c>
      <c r="D21" s="32" t="s">
        <v>34</v>
      </c>
      <c r="E21" s="33"/>
      <c r="F21" s="33"/>
      <c r="G21" s="33"/>
      <c r="H21" s="48">
        <v>5</v>
      </c>
      <c r="I21" s="35">
        <f t="shared" ref="I21:I26" si="2">IF(E21="O",5,IF(F21="O",2.5,IF(G21="O",0,0)))</f>
        <v>0</v>
      </c>
      <c r="J21" s="36">
        <f t="shared" ref="J21:J26" si="3">I21*100/$H$20</f>
        <v>0</v>
      </c>
      <c r="K21" s="37"/>
      <c r="L21" s="280"/>
      <c r="M21" s="48">
        <v>5</v>
      </c>
      <c r="N21" s="281"/>
      <c r="O21" s="281"/>
      <c r="P21" s="6"/>
    </row>
    <row r="22" spans="3:16" s="7" customFormat="1" ht="78.599999999999994" customHeight="1">
      <c r="C22" s="38">
        <v>16</v>
      </c>
      <c r="D22" s="32" t="s">
        <v>35</v>
      </c>
      <c r="E22" s="33"/>
      <c r="F22" s="33"/>
      <c r="G22" s="33"/>
      <c r="H22" s="48">
        <v>5</v>
      </c>
      <c r="I22" s="35">
        <f t="shared" si="2"/>
        <v>0</v>
      </c>
      <c r="J22" s="36">
        <f t="shared" si="3"/>
        <v>0</v>
      </c>
      <c r="K22" s="42"/>
      <c r="L22" s="280"/>
      <c r="M22" s="48">
        <v>5</v>
      </c>
      <c r="N22" s="281"/>
      <c r="O22" s="281"/>
      <c r="P22" s="6"/>
    </row>
    <row r="23" spans="3:16" s="7" customFormat="1" ht="63" customHeight="1">
      <c r="C23" s="38">
        <v>17</v>
      </c>
      <c r="D23" s="32" t="s">
        <v>36</v>
      </c>
      <c r="E23" s="33"/>
      <c r="F23" s="33"/>
      <c r="G23" s="33"/>
      <c r="H23" s="48">
        <v>5</v>
      </c>
      <c r="I23" s="35">
        <f t="shared" si="2"/>
        <v>0</v>
      </c>
      <c r="J23" s="36">
        <f t="shared" si="3"/>
        <v>0</v>
      </c>
      <c r="K23" s="37"/>
      <c r="L23" s="280"/>
      <c r="M23" s="48">
        <v>5</v>
      </c>
      <c r="N23" s="281"/>
      <c r="O23" s="281"/>
      <c r="P23" s="6"/>
    </row>
    <row r="24" spans="3:16" s="7" customFormat="1" ht="57" customHeight="1">
      <c r="C24" s="38">
        <v>18</v>
      </c>
      <c r="D24" s="64" t="s">
        <v>37</v>
      </c>
      <c r="E24" s="33"/>
      <c r="F24" s="33"/>
      <c r="G24" s="33"/>
      <c r="H24" s="48">
        <v>5</v>
      </c>
      <c r="I24" s="35">
        <f t="shared" si="2"/>
        <v>0</v>
      </c>
      <c r="J24" s="36">
        <f t="shared" si="3"/>
        <v>0</v>
      </c>
      <c r="K24" s="37"/>
      <c r="L24" s="280"/>
      <c r="M24" s="48">
        <v>5</v>
      </c>
      <c r="N24" s="281"/>
      <c r="O24" s="281"/>
      <c r="P24" s="6"/>
    </row>
    <row r="25" spans="3:16" s="7" customFormat="1" ht="98.45" customHeight="1">
      <c r="C25" s="38">
        <v>19</v>
      </c>
      <c r="D25" s="32" t="s">
        <v>38</v>
      </c>
      <c r="E25" s="33"/>
      <c r="F25" s="33"/>
      <c r="G25" s="33"/>
      <c r="H25" s="48">
        <v>5</v>
      </c>
      <c r="I25" s="35">
        <f t="shared" si="2"/>
        <v>0</v>
      </c>
      <c r="J25" s="36">
        <f t="shared" si="3"/>
        <v>0</v>
      </c>
      <c r="K25" s="37"/>
      <c r="L25" s="280"/>
      <c r="M25" s="48">
        <v>5</v>
      </c>
      <c r="N25" s="281"/>
      <c r="O25" s="281"/>
      <c r="P25" s="6"/>
    </row>
    <row r="26" spans="3:16" s="7" customFormat="1" ht="81" customHeight="1">
      <c r="C26" s="38">
        <v>20</v>
      </c>
      <c r="D26" s="32" t="s">
        <v>39</v>
      </c>
      <c r="E26" s="33"/>
      <c r="F26" s="33"/>
      <c r="G26" s="33"/>
      <c r="H26" s="48">
        <v>5</v>
      </c>
      <c r="I26" s="35">
        <f t="shared" si="2"/>
        <v>0</v>
      </c>
      <c r="J26" s="36">
        <f t="shared" si="3"/>
        <v>0</v>
      </c>
      <c r="K26" s="65"/>
      <c r="L26" s="280"/>
      <c r="M26" s="48">
        <v>5</v>
      </c>
      <c r="N26" s="281"/>
      <c r="O26" s="281"/>
      <c r="P26" s="6"/>
    </row>
    <row r="27" spans="3:16" s="7" customFormat="1" ht="95.45" customHeight="1">
      <c r="C27" s="38">
        <v>21</v>
      </c>
      <c r="D27" s="39" t="s">
        <v>40</v>
      </c>
      <c r="E27" s="33"/>
      <c r="F27" s="33"/>
      <c r="G27" s="33"/>
      <c r="H27" s="48">
        <v>10</v>
      </c>
      <c r="I27" s="35">
        <f>IF(E27="O",10,IF(F27="O",5,IF(G27="O",0,0)))</f>
        <v>0</v>
      </c>
      <c r="J27" s="36">
        <f>I27*100/$H$20</f>
        <v>0</v>
      </c>
      <c r="K27" s="65"/>
      <c r="L27" s="280"/>
      <c r="M27" s="48">
        <v>10</v>
      </c>
      <c r="N27" s="281"/>
      <c r="O27" s="281"/>
      <c r="P27" s="6"/>
    </row>
    <row r="28" spans="3:16" s="7" customFormat="1" ht="27.6" customHeight="1">
      <c r="C28" s="49">
        <v>22</v>
      </c>
      <c r="D28" s="50" t="s">
        <v>41</v>
      </c>
      <c r="E28" s="66"/>
      <c r="F28" s="66"/>
      <c r="G28" s="66"/>
      <c r="H28" s="67">
        <v>5</v>
      </c>
      <c r="I28" s="53">
        <f>IF(E28="O",5,IF(F28="O",2.5,IF(G28="O",0,0)))</f>
        <v>0</v>
      </c>
      <c r="J28" s="54">
        <f>I28*100/$H$20</f>
        <v>0</v>
      </c>
      <c r="K28" s="68"/>
      <c r="L28" s="280"/>
      <c r="M28" s="67">
        <v>5</v>
      </c>
      <c r="N28" s="281"/>
      <c r="O28" s="281"/>
      <c r="P28" s="6"/>
    </row>
    <row r="29" spans="3:16" s="30" customFormat="1" ht="19.5" customHeight="1">
      <c r="C29" s="56"/>
      <c r="D29" s="69" t="s">
        <v>42</v>
      </c>
      <c r="E29" s="70" t="s">
        <v>43</v>
      </c>
      <c r="F29" s="58" t="s">
        <v>12</v>
      </c>
      <c r="G29" s="58" t="s">
        <v>44</v>
      </c>
      <c r="H29" s="59">
        <f>SUM(H30:H35)-COUNTIF(I30:I35,"False")*5</f>
        <v>30</v>
      </c>
      <c r="I29" s="59">
        <f>SUM(I30:I35)</f>
        <v>0</v>
      </c>
      <c r="J29" s="60">
        <f>IF(I29=0,(0),SUM(J30:J35))</f>
        <v>0</v>
      </c>
      <c r="K29" s="61"/>
      <c r="L29" s="280"/>
      <c r="M29" s="62">
        <f>SUM(M30:M35)-COUNTIF(N30:N35,"False")*5</f>
        <v>30</v>
      </c>
      <c r="N29" s="281"/>
      <c r="O29" s="281"/>
      <c r="P29" s="5"/>
    </row>
    <row r="30" spans="3:16" s="7" customFormat="1" ht="63" customHeight="1">
      <c r="C30" s="63">
        <v>23</v>
      </c>
      <c r="D30" s="32" t="s">
        <v>45</v>
      </c>
      <c r="E30" s="33"/>
      <c r="F30" s="33"/>
      <c r="G30" s="33"/>
      <c r="H30" s="48">
        <v>5</v>
      </c>
      <c r="I30" s="35">
        <f t="shared" ref="I30:I35" si="4">IF(E30="O",5,IF(F30="O",2.5,IF(G30="O",0,0)))</f>
        <v>0</v>
      </c>
      <c r="J30" s="36">
        <f t="shared" ref="J30:J35" si="5">I30*100/$H$29</f>
        <v>0</v>
      </c>
      <c r="K30" s="71"/>
      <c r="L30" s="280"/>
      <c r="M30" s="48">
        <v>5</v>
      </c>
      <c r="N30" s="281"/>
      <c r="O30" s="281"/>
      <c r="P30" s="6"/>
    </row>
    <row r="31" spans="3:16" s="7" customFormat="1" ht="109.15" customHeight="1">
      <c r="C31" s="38">
        <v>24</v>
      </c>
      <c r="D31" s="32" t="s">
        <v>46</v>
      </c>
      <c r="E31" s="33"/>
      <c r="F31" s="33"/>
      <c r="G31" s="33"/>
      <c r="H31" s="48">
        <v>5</v>
      </c>
      <c r="I31" s="35">
        <f t="shared" si="4"/>
        <v>0</v>
      </c>
      <c r="J31" s="36">
        <f t="shared" si="5"/>
        <v>0</v>
      </c>
      <c r="K31" s="43"/>
      <c r="L31" s="280"/>
      <c r="M31" s="48">
        <v>5</v>
      </c>
      <c r="N31" s="281"/>
      <c r="O31" s="281"/>
      <c r="P31" s="6"/>
    </row>
    <row r="32" spans="3:16" s="7" customFormat="1" ht="93.75" customHeight="1">
      <c r="C32" s="38">
        <v>25</v>
      </c>
      <c r="D32" s="32" t="s">
        <v>47</v>
      </c>
      <c r="E32" s="33"/>
      <c r="F32" s="33"/>
      <c r="G32" s="33"/>
      <c r="H32" s="48">
        <v>5</v>
      </c>
      <c r="I32" s="35">
        <f t="shared" si="4"/>
        <v>0</v>
      </c>
      <c r="J32" s="36">
        <f t="shared" si="5"/>
        <v>0</v>
      </c>
      <c r="K32" s="42"/>
      <c r="L32" s="280"/>
      <c r="M32" s="48">
        <v>5</v>
      </c>
      <c r="N32" s="281"/>
      <c r="O32" s="281"/>
      <c r="P32" s="6"/>
    </row>
    <row r="33" spans="3:16" s="7" customFormat="1" ht="36.6" customHeight="1">
      <c r="C33" s="38">
        <v>26</v>
      </c>
      <c r="D33" s="32" t="s">
        <v>48</v>
      </c>
      <c r="E33" s="33"/>
      <c r="F33" s="33"/>
      <c r="G33" s="33"/>
      <c r="H33" s="48">
        <v>5</v>
      </c>
      <c r="I33" s="35">
        <f t="shared" si="4"/>
        <v>0</v>
      </c>
      <c r="J33" s="36">
        <f t="shared" si="5"/>
        <v>0</v>
      </c>
      <c r="K33" s="42"/>
      <c r="L33" s="280"/>
      <c r="M33" s="48">
        <v>5</v>
      </c>
      <c r="N33" s="281"/>
      <c r="O33" s="281"/>
      <c r="P33" s="6"/>
    </row>
    <row r="34" spans="3:16" s="7" customFormat="1" ht="50.45" customHeight="1">
      <c r="C34" s="38">
        <v>27</v>
      </c>
      <c r="D34" s="32" t="s">
        <v>49</v>
      </c>
      <c r="E34" s="33"/>
      <c r="F34" s="33"/>
      <c r="G34" s="33"/>
      <c r="H34" s="48">
        <v>5</v>
      </c>
      <c r="I34" s="35">
        <f t="shared" si="4"/>
        <v>0</v>
      </c>
      <c r="J34" s="36">
        <f t="shared" si="5"/>
        <v>0</v>
      </c>
      <c r="K34" s="37"/>
      <c r="L34" s="280"/>
      <c r="M34" s="48">
        <v>5</v>
      </c>
      <c r="N34" s="281"/>
      <c r="O34" s="281"/>
      <c r="P34" s="6"/>
    </row>
    <row r="35" spans="3:16" s="7" customFormat="1" ht="49.15" customHeight="1">
      <c r="C35" s="49">
        <v>28</v>
      </c>
      <c r="D35" s="50" t="s">
        <v>50</v>
      </c>
      <c r="E35" s="72"/>
      <c r="F35" s="72"/>
      <c r="G35" s="72"/>
      <c r="H35" s="67">
        <v>5</v>
      </c>
      <c r="I35" s="53">
        <f t="shared" si="4"/>
        <v>0</v>
      </c>
      <c r="J35" s="54">
        <f t="shared" si="5"/>
        <v>0</v>
      </c>
      <c r="K35" s="55"/>
      <c r="L35" s="280"/>
      <c r="M35" s="67">
        <v>5</v>
      </c>
      <c r="N35" s="281"/>
      <c r="O35" s="281"/>
      <c r="P35" s="6"/>
    </row>
    <row r="36" spans="3:16" s="30" customFormat="1" ht="19.5" customHeight="1">
      <c r="C36" s="56"/>
      <c r="D36" s="69" t="s">
        <v>51</v>
      </c>
      <c r="E36" s="70" t="s">
        <v>52</v>
      </c>
      <c r="F36" s="58" t="s">
        <v>12</v>
      </c>
      <c r="G36" s="58" t="s">
        <v>53</v>
      </c>
      <c r="H36" s="59">
        <f>SUM(H37:H51)-COUNTIF(I37:I51,"False")*5</f>
        <v>75</v>
      </c>
      <c r="I36" s="59">
        <f>SUM(I37:I51)</f>
        <v>0</v>
      </c>
      <c r="J36" s="60">
        <f>IF(I36=0,(0),SUM(J37:J51))</f>
        <v>0</v>
      </c>
      <c r="K36" s="61"/>
      <c r="L36" s="27"/>
      <c r="M36" s="62">
        <f>SUM(M37:M51)-COUNTIF(N37:N51,"False")*5</f>
        <v>75</v>
      </c>
      <c r="N36" s="29"/>
      <c r="O36" s="29"/>
      <c r="P36" s="5"/>
    </row>
    <row r="37" spans="3:16" s="7" customFormat="1" ht="19.5" customHeight="1">
      <c r="C37" s="63">
        <v>29</v>
      </c>
      <c r="D37" s="73" t="s">
        <v>54</v>
      </c>
      <c r="E37" s="74"/>
      <c r="F37" s="74"/>
      <c r="G37" s="33"/>
      <c r="H37" s="48">
        <v>5</v>
      </c>
      <c r="I37" s="35">
        <f t="shared" ref="I37:I50" si="6">IF(E37="O",5,IF(F37="O",2.5,IF(G37="O",0,0)))</f>
        <v>0</v>
      </c>
      <c r="J37" s="36">
        <f>I37*100/$H$36</f>
        <v>0</v>
      </c>
      <c r="K37" s="37"/>
      <c r="L37" s="282"/>
      <c r="M37" s="48">
        <v>5</v>
      </c>
      <c r="N37" s="283"/>
      <c r="O37" s="283"/>
      <c r="P37" s="6"/>
    </row>
    <row r="38" spans="3:16" s="7" customFormat="1" ht="98.25" customHeight="1">
      <c r="C38" s="38">
        <v>30</v>
      </c>
      <c r="D38" s="32" t="s">
        <v>55</v>
      </c>
      <c r="E38" s="75"/>
      <c r="F38" s="75"/>
      <c r="G38" s="33"/>
      <c r="H38" s="48">
        <v>5</v>
      </c>
      <c r="I38" s="35">
        <f t="shared" si="6"/>
        <v>0</v>
      </c>
      <c r="J38" s="36">
        <f>I38*100/$H$36</f>
        <v>0</v>
      </c>
      <c r="K38" s="42"/>
      <c r="L38" s="282"/>
      <c r="M38" s="48">
        <v>5</v>
      </c>
      <c r="N38" s="283"/>
      <c r="O38" s="283"/>
      <c r="P38" s="6"/>
    </row>
    <row r="39" spans="3:16" s="7" customFormat="1" ht="126" customHeight="1">
      <c r="C39" s="38">
        <v>31</v>
      </c>
      <c r="D39" s="32" t="s">
        <v>56</v>
      </c>
      <c r="E39" s="33"/>
      <c r="F39" s="33"/>
      <c r="G39" s="33"/>
      <c r="H39" s="48">
        <v>5</v>
      </c>
      <c r="I39" s="35">
        <f t="shared" si="6"/>
        <v>0</v>
      </c>
      <c r="J39" s="36">
        <f t="shared" ref="J39:J51" si="7">I39*100/$H$36</f>
        <v>0</v>
      </c>
      <c r="K39" s="42"/>
      <c r="L39" s="282"/>
      <c r="M39" s="48">
        <v>5</v>
      </c>
      <c r="N39" s="283"/>
      <c r="O39" s="283"/>
      <c r="P39" s="6"/>
    </row>
    <row r="40" spans="3:16" s="7" customFormat="1" ht="58.9" customHeight="1">
      <c r="C40" s="38">
        <v>32</v>
      </c>
      <c r="D40" s="32" t="s">
        <v>57</v>
      </c>
      <c r="E40" s="33"/>
      <c r="F40" s="33"/>
      <c r="G40" s="33"/>
      <c r="H40" s="48">
        <v>5</v>
      </c>
      <c r="I40" s="35">
        <f t="shared" si="6"/>
        <v>0</v>
      </c>
      <c r="J40" s="36">
        <f t="shared" si="7"/>
        <v>0</v>
      </c>
      <c r="K40" s="37"/>
      <c r="L40" s="282"/>
      <c r="M40" s="48">
        <v>5</v>
      </c>
      <c r="N40" s="283"/>
      <c r="O40" s="283"/>
      <c r="P40" s="6"/>
    </row>
    <row r="41" spans="3:16" s="7" customFormat="1" ht="95.45" customHeight="1">
      <c r="C41" s="38">
        <v>33</v>
      </c>
      <c r="D41" s="32" t="s">
        <v>58</v>
      </c>
      <c r="E41" s="33"/>
      <c r="F41" s="33"/>
      <c r="G41" s="33"/>
      <c r="H41" s="48">
        <v>5</v>
      </c>
      <c r="I41" s="35">
        <f t="shared" si="6"/>
        <v>0</v>
      </c>
      <c r="J41" s="36">
        <f t="shared" si="7"/>
        <v>0</v>
      </c>
      <c r="K41" s="37"/>
      <c r="L41" s="282"/>
      <c r="M41" s="48">
        <v>5</v>
      </c>
      <c r="N41" s="283"/>
      <c r="O41" s="283"/>
      <c r="P41" s="6"/>
    </row>
    <row r="42" spans="3:16" s="7" customFormat="1" ht="101.45" customHeight="1">
      <c r="C42" s="38">
        <v>34</v>
      </c>
      <c r="D42" s="32" t="s">
        <v>59</v>
      </c>
      <c r="E42" s="33"/>
      <c r="F42" s="33"/>
      <c r="G42" s="33"/>
      <c r="H42" s="48">
        <v>5</v>
      </c>
      <c r="I42" s="35">
        <f t="shared" si="6"/>
        <v>0</v>
      </c>
      <c r="J42" s="36">
        <f t="shared" si="7"/>
        <v>0</v>
      </c>
      <c r="K42" s="42"/>
      <c r="L42" s="282"/>
      <c r="M42" s="48">
        <v>5</v>
      </c>
      <c r="N42" s="283"/>
      <c r="O42" s="283"/>
      <c r="P42" s="6"/>
    </row>
    <row r="43" spans="3:16" s="7" customFormat="1" ht="145.9" customHeight="1">
      <c r="C43" s="38">
        <v>35</v>
      </c>
      <c r="D43" s="32" t="s">
        <v>60</v>
      </c>
      <c r="E43" s="33"/>
      <c r="F43" s="33"/>
      <c r="G43" s="33"/>
      <c r="H43" s="48">
        <v>5</v>
      </c>
      <c r="I43" s="35">
        <f t="shared" si="6"/>
        <v>0</v>
      </c>
      <c r="J43" s="36">
        <f t="shared" si="7"/>
        <v>0</v>
      </c>
      <c r="K43" s="76"/>
      <c r="L43" s="282"/>
      <c r="M43" s="48">
        <v>5</v>
      </c>
      <c r="N43" s="283"/>
      <c r="O43" s="283"/>
      <c r="P43" s="6"/>
    </row>
    <row r="44" spans="3:16" s="7" customFormat="1" ht="75.599999999999994" customHeight="1">
      <c r="C44" s="38">
        <v>36</v>
      </c>
      <c r="D44" s="32" t="s">
        <v>61</v>
      </c>
      <c r="E44" s="33"/>
      <c r="F44" s="33"/>
      <c r="G44" s="33"/>
      <c r="H44" s="48">
        <v>5</v>
      </c>
      <c r="I44" s="35">
        <f t="shared" si="6"/>
        <v>0</v>
      </c>
      <c r="J44" s="36">
        <f t="shared" si="7"/>
        <v>0</v>
      </c>
      <c r="K44" s="76"/>
      <c r="L44" s="282"/>
      <c r="M44" s="48">
        <v>5</v>
      </c>
      <c r="N44" s="283"/>
      <c r="O44" s="283"/>
      <c r="P44" s="6"/>
    </row>
    <row r="45" spans="3:16" s="7" customFormat="1" ht="94.15" customHeight="1">
      <c r="C45" s="38">
        <v>37</v>
      </c>
      <c r="D45" s="32" t="s">
        <v>62</v>
      </c>
      <c r="E45" s="33"/>
      <c r="F45" s="33"/>
      <c r="G45" s="33"/>
      <c r="H45" s="48">
        <v>5</v>
      </c>
      <c r="I45" s="35">
        <f t="shared" si="6"/>
        <v>0</v>
      </c>
      <c r="J45" s="36">
        <f t="shared" si="7"/>
        <v>0</v>
      </c>
      <c r="K45" s="77"/>
      <c r="L45" s="282"/>
      <c r="M45" s="48">
        <v>5</v>
      </c>
      <c r="N45" s="283"/>
      <c r="O45" s="283"/>
      <c r="P45" s="6"/>
    </row>
    <row r="46" spans="3:16" s="7" customFormat="1" ht="50.45" customHeight="1">
      <c r="C46" s="38">
        <v>38</v>
      </c>
      <c r="D46" s="32" t="s">
        <v>63</v>
      </c>
      <c r="E46" s="33"/>
      <c r="F46" s="33"/>
      <c r="G46" s="33"/>
      <c r="H46" s="48">
        <v>5</v>
      </c>
      <c r="I46" s="35">
        <f t="shared" si="6"/>
        <v>0</v>
      </c>
      <c r="J46" s="36">
        <f t="shared" si="7"/>
        <v>0</v>
      </c>
      <c r="K46" s="78"/>
      <c r="L46" s="282"/>
      <c r="M46" s="48">
        <v>5</v>
      </c>
      <c r="N46" s="283"/>
      <c r="O46" s="283"/>
      <c r="P46" s="6"/>
    </row>
    <row r="47" spans="3:16" s="7" customFormat="1" ht="21" customHeight="1">
      <c r="C47" s="38">
        <v>39</v>
      </c>
      <c r="D47" s="79" t="s">
        <v>64</v>
      </c>
      <c r="E47" s="33"/>
      <c r="F47" s="33"/>
      <c r="G47" s="33"/>
      <c r="H47" s="48">
        <v>5</v>
      </c>
      <c r="I47" s="35">
        <f t="shared" si="6"/>
        <v>0</v>
      </c>
      <c r="J47" s="36">
        <f t="shared" si="7"/>
        <v>0</v>
      </c>
      <c r="K47" s="43"/>
      <c r="L47" s="282"/>
      <c r="M47" s="48">
        <v>5</v>
      </c>
      <c r="N47" s="283"/>
      <c r="O47" s="283"/>
      <c r="P47" s="6"/>
    </row>
    <row r="48" spans="3:16" s="7" customFormat="1" ht="33.75" customHeight="1">
      <c r="C48" s="38">
        <v>40</v>
      </c>
      <c r="D48" s="79" t="s">
        <v>65</v>
      </c>
      <c r="E48" s="33"/>
      <c r="F48" s="33"/>
      <c r="G48" s="33"/>
      <c r="H48" s="48">
        <v>5</v>
      </c>
      <c r="I48" s="35">
        <f t="shared" si="6"/>
        <v>0</v>
      </c>
      <c r="J48" s="36">
        <f t="shared" si="7"/>
        <v>0</v>
      </c>
      <c r="K48" s="43"/>
      <c r="L48" s="282"/>
      <c r="M48" s="48">
        <v>5</v>
      </c>
      <c r="N48" s="283"/>
      <c r="O48" s="283"/>
      <c r="P48" s="6"/>
    </row>
    <row r="49" spans="3:16" s="7" customFormat="1" ht="92.25" customHeight="1">
      <c r="C49" s="38">
        <v>41</v>
      </c>
      <c r="D49" s="47" t="s">
        <v>66</v>
      </c>
      <c r="E49" s="33"/>
      <c r="F49" s="33"/>
      <c r="G49" s="33"/>
      <c r="H49" s="48">
        <v>5</v>
      </c>
      <c r="I49" s="35">
        <f t="shared" si="6"/>
        <v>0</v>
      </c>
      <c r="J49" s="36">
        <f t="shared" si="7"/>
        <v>0</v>
      </c>
      <c r="K49" s="43"/>
      <c r="L49" s="282"/>
      <c r="M49" s="48">
        <v>5</v>
      </c>
      <c r="N49" s="283"/>
      <c r="O49" s="283"/>
      <c r="P49" s="6"/>
    </row>
    <row r="50" spans="3:16" s="7" customFormat="1" ht="73.900000000000006" customHeight="1">
      <c r="C50" s="38">
        <v>42</v>
      </c>
      <c r="D50" s="80" t="s">
        <v>67</v>
      </c>
      <c r="E50" s="33"/>
      <c r="F50" s="33"/>
      <c r="G50" s="33"/>
      <c r="H50" s="48">
        <v>5</v>
      </c>
      <c r="I50" s="35">
        <f t="shared" si="6"/>
        <v>0</v>
      </c>
      <c r="J50" s="36">
        <f t="shared" si="7"/>
        <v>0</v>
      </c>
      <c r="K50" s="76"/>
      <c r="L50" s="282"/>
      <c r="M50" s="48">
        <v>5</v>
      </c>
      <c r="N50" s="283"/>
      <c r="O50" s="283"/>
      <c r="P50" s="6"/>
    </row>
    <row r="51" spans="3:16" s="7" customFormat="1" ht="19.5" customHeight="1">
      <c r="C51" s="49">
        <v>43</v>
      </c>
      <c r="D51" s="81" t="s">
        <v>68</v>
      </c>
      <c r="E51" s="72"/>
      <c r="F51" s="72"/>
      <c r="G51" s="72"/>
      <c r="H51" s="67">
        <v>5</v>
      </c>
      <c r="I51" s="53">
        <f t="shared" si="0"/>
        <v>0</v>
      </c>
      <c r="J51" s="54">
        <f t="shared" si="7"/>
        <v>0</v>
      </c>
      <c r="K51" s="82"/>
      <c r="L51" s="282"/>
      <c r="M51" s="67">
        <v>5</v>
      </c>
      <c r="N51" s="283"/>
      <c r="O51" s="283"/>
      <c r="P51" s="6"/>
    </row>
    <row r="52" spans="3:16" s="30" customFormat="1" ht="19.5" customHeight="1">
      <c r="C52" s="56"/>
      <c r="D52" s="57" t="s">
        <v>69</v>
      </c>
      <c r="E52" s="70" t="s">
        <v>31</v>
      </c>
      <c r="F52" s="58" t="s">
        <v>70</v>
      </c>
      <c r="G52" s="58" t="s">
        <v>13</v>
      </c>
      <c r="H52" s="59">
        <f>SUM(H53:H63)-COUNTIF(I53:I63,"False")*5</f>
        <v>55</v>
      </c>
      <c r="I52" s="59">
        <f>SUM(I53:I63)</f>
        <v>0</v>
      </c>
      <c r="J52" s="60">
        <f>IF(I52=0,(0),SUM(J53:J63))</f>
        <v>0</v>
      </c>
      <c r="K52" s="61"/>
      <c r="L52" s="27"/>
      <c r="M52" s="62">
        <f>SUM(M53:M63)-COUNTIF(N53:N63,"False")*5</f>
        <v>55</v>
      </c>
      <c r="N52" s="29"/>
      <c r="O52" s="29"/>
      <c r="P52" s="5"/>
    </row>
    <row r="53" spans="3:16" s="7" customFormat="1" ht="19.5" customHeight="1">
      <c r="C53" s="63">
        <v>44</v>
      </c>
      <c r="D53" s="73" t="s">
        <v>71</v>
      </c>
      <c r="E53" s="33"/>
      <c r="F53" s="33"/>
      <c r="G53" s="33"/>
      <c r="H53" s="48">
        <v>5</v>
      </c>
      <c r="I53" s="35">
        <f t="shared" ref="I53:I63" si="8">IF(E53="O",5,IF(F53="O",2.5,IF(G53="O",0,0)))</f>
        <v>0</v>
      </c>
      <c r="J53" s="36">
        <f t="shared" ref="J53:J63" si="9">I53*100/$H$52</f>
        <v>0</v>
      </c>
      <c r="K53" s="76"/>
      <c r="L53" s="282"/>
      <c r="M53" s="48">
        <v>5</v>
      </c>
      <c r="N53" s="283"/>
      <c r="O53" s="283"/>
      <c r="P53" s="6"/>
    </row>
    <row r="54" spans="3:16" s="7" customFormat="1" ht="88.15" customHeight="1">
      <c r="C54" s="38">
        <v>45</v>
      </c>
      <c r="D54" s="83" t="s">
        <v>72</v>
      </c>
      <c r="E54" s="33"/>
      <c r="F54" s="33"/>
      <c r="G54" s="33"/>
      <c r="H54" s="48">
        <v>5</v>
      </c>
      <c r="I54" s="35">
        <f t="shared" si="8"/>
        <v>0</v>
      </c>
      <c r="J54" s="36">
        <f t="shared" si="9"/>
        <v>0</v>
      </c>
      <c r="K54" s="43"/>
      <c r="L54" s="282"/>
      <c r="M54" s="48">
        <v>5</v>
      </c>
      <c r="N54" s="283"/>
      <c r="O54" s="283"/>
      <c r="P54" s="6"/>
    </row>
    <row r="55" spans="3:16" s="7" customFormat="1" ht="24.75" customHeight="1">
      <c r="C55" s="38">
        <v>46</v>
      </c>
      <c r="D55" s="79" t="s">
        <v>73</v>
      </c>
      <c r="E55" s="33"/>
      <c r="F55" s="33"/>
      <c r="G55" s="33"/>
      <c r="H55" s="48">
        <v>5</v>
      </c>
      <c r="I55" s="35">
        <f t="shared" si="8"/>
        <v>0</v>
      </c>
      <c r="J55" s="36">
        <f t="shared" si="9"/>
        <v>0</v>
      </c>
      <c r="K55" s="42"/>
      <c r="L55" s="282"/>
      <c r="M55" s="48">
        <v>5</v>
      </c>
      <c r="N55" s="283"/>
      <c r="O55" s="283"/>
      <c r="P55" s="6"/>
    </row>
    <row r="56" spans="3:16" s="7" customFormat="1" ht="199.9" customHeight="1">
      <c r="C56" s="38">
        <v>47</v>
      </c>
      <c r="D56" s="32" t="s">
        <v>74</v>
      </c>
      <c r="E56" s="33"/>
      <c r="F56" s="33"/>
      <c r="G56" s="33"/>
      <c r="H56" s="48">
        <v>5</v>
      </c>
      <c r="I56" s="35">
        <f t="shared" si="8"/>
        <v>0</v>
      </c>
      <c r="J56" s="36">
        <f t="shared" si="9"/>
        <v>0</v>
      </c>
      <c r="K56" s="71"/>
      <c r="L56" s="282"/>
      <c r="M56" s="48">
        <v>5</v>
      </c>
      <c r="N56" s="283"/>
      <c r="O56" s="283"/>
      <c r="P56" s="6"/>
    </row>
    <row r="57" spans="3:16" s="7" customFormat="1" ht="79.900000000000006" customHeight="1">
      <c r="C57" s="38">
        <v>48</v>
      </c>
      <c r="D57" s="32" t="s">
        <v>75</v>
      </c>
      <c r="E57" s="33"/>
      <c r="F57" s="33"/>
      <c r="G57" s="33"/>
      <c r="H57" s="48">
        <v>5</v>
      </c>
      <c r="I57" s="35">
        <f t="shared" si="8"/>
        <v>0</v>
      </c>
      <c r="J57" s="36">
        <f t="shared" si="9"/>
        <v>0</v>
      </c>
      <c r="K57" s="42"/>
      <c r="L57" s="282"/>
      <c r="M57" s="48">
        <v>5</v>
      </c>
      <c r="N57" s="283"/>
      <c r="O57" s="283"/>
      <c r="P57" s="6"/>
    </row>
    <row r="58" spans="3:16" s="7" customFormat="1" ht="93.75" customHeight="1">
      <c r="C58" s="38">
        <v>49</v>
      </c>
      <c r="D58" s="83" t="s">
        <v>76</v>
      </c>
      <c r="E58" s="33"/>
      <c r="F58" s="33"/>
      <c r="G58" s="33"/>
      <c r="H58" s="48">
        <v>5</v>
      </c>
      <c r="I58" s="35">
        <f t="shared" si="8"/>
        <v>0</v>
      </c>
      <c r="J58" s="36">
        <f t="shared" si="9"/>
        <v>0</v>
      </c>
      <c r="K58" s="37"/>
      <c r="L58" s="282"/>
      <c r="M58" s="48">
        <v>5</v>
      </c>
      <c r="N58" s="283"/>
      <c r="O58" s="283"/>
      <c r="P58" s="6"/>
    </row>
    <row r="59" spans="3:16" s="7" customFormat="1" ht="81" customHeight="1">
      <c r="C59" s="38">
        <v>50</v>
      </c>
      <c r="D59" s="83" t="s">
        <v>77</v>
      </c>
      <c r="E59" s="33"/>
      <c r="F59" s="33"/>
      <c r="G59" s="33"/>
      <c r="H59" s="48">
        <v>5</v>
      </c>
      <c r="I59" s="35">
        <f t="shared" si="8"/>
        <v>0</v>
      </c>
      <c r="J59" s="36">
        <f t="shared" si="9"/>
        <v>0</v>
      </c>
      <c r="K59" s="78"/>
      <c r="L59" s="282"/>
      <c r="M59" s="48">
        <v>5</v>
      </c>
      <c r="N59" s="283"/>
      <c r="O59" s="283"/>
      <c r="P59" s="6"/>
    </row>
    <row r="60" spans="3:16" s="7" customFormat="1" ht="66.599999999999994" customHeight="1">
      <c r="C60" s="38">
        <v>51</v>
      </c>
      <c r="D60" s="83" t="s">
        <v>78</v>
      </c>
      <c r="E60" s="33"/>
      <c r="F60" s="33"/>
      <c r="G60" s="33"/>
      <c r="H60" s="48">
        <v>5</v>
      </c>
      <c r="I60" s="35">
        <f t="shared" si="8"/>
        <v>0</v>
      </c>
      <c r="J60" s="36">
        <f t="shared" si="9"/>
        <v>0</v>
      </c>
      <c r="K60" s="37"/>
      <c r="L60" s="282"/>
      <c r="M60" s="48">
        <v>5</v>
      </c>
      <c r="N60" s="283"/>
      <c r="O60" s="283"/>
      <c r="P60" s="6"/>
    </row>
    <row r="61" spans="3:16" s="7" customFormat="1" ht="126" customHeight="1">
      <c r="C61" s="38">
        <v>52</v>
      </c>
      <c r="D61" s="83" t="s">
        <v>79</v>
      </c>
      <c r="E61" s="33"/>
      <c r="F61" s="33"/>
      <c r="G61" s="33"/>
      <c r="H61" s="48">
        <v>5</v>
      </c>
      <c r="I61" s="35">
        <f t="shared" si="8"/>
        <v>0</v>
      </c>
      <c r="J61" s="36">
        <f t="shared" si="9"/>
        <v>0</v>
      </c>
      <c r="K61" s="37"/>
      <c r="L61" s="282"/>
      <c r="M61" s="48">
        <v>5</v>
      </c>
      <c r="N61" s="283"/>
      <c r="O61" s="283"/>
      <c r="P61" s="6"/>
    </row>
    <row r="62" spans="3:16" s="7" customFormat="1" ht="114" customHeight="1">
      <c r="C62" s="38">
        <v>53</v>
      </c>
      <c r="D62" s="83" t="s">
        <v>80</v>
      </c>
      <c r="E62" s="33"/>
      <c r="F62" s="33"/>
      <c r="G62" s="33"/>
      <c r="H62" s="48">
        <v>5</v>
      </c>
      <c r="I62" s="35">
        <f t="shared" si="8"/>
        <v>0</v>
      </c>
      <c r="J62" s="36">
        <f t="shared" si="9"/>
        <v>0</v>
      </c>
      <c r="K62" s="37"/>
      <c r="L62" s="282"/>
      <c r="M62" s="48">
        <v>5</v>
      </c>
      <c r="N62" s="283"/>
      <c r="O62" s="283"/>
      <c r="P62" s="6"/>
    </row>
    <row r="63" spans="3:16" s="7" customFormat="1" ht="19.5" customHeight="1">
      <c r="C63" s="49">
        <v>54</v>
      </c>
      <c r="D63" s="81" t="s">
        <v>81</v>
      </c>
      <c r="E63" s="66"/>
      <c r="F63" s="66"/>
      <c r="G63" s="66"/>
      <c r="H63" s="67">
        <v>5</v>
      </c>
      <c r="I63" s="53">
        <f t="shared" si="8"/>
        <v>0</v>
      </c>
      <c r="J63" s="54">
        <f t="shared" si="9"/>
        <v>0</v>
      </c>
      <c r="K63" s="84"/>
      <c r="L63" s="282"/>
      <c r="M63" s="67">
        <v>5</v>
      </c>
      <c r="N63" s="283"/>
      <c r="O63" s="283"/>
      <c r="P63" s="6"/>
    </row>
    <row r="64" spans="3:16" s="30" customFormat="1" ht="19.5" customHeight="1">
      <c r="C64" s="56"/>
      <c r="D64" s="69" t="s">
        <v>82</v>
      </c>
      <c r="E64" s="70" t="s">
        <v>31</v>
      </c>
      <c r="F64" s="58" t="s">
        <v>83</v>
      </c>
      <c r="G64" s="58" t="s">
        <v>44</v>
      </c>
      <c r="H64" s="59">
        <f>SUM(H65:H72)-COUNTIF(I65:I72,"False")*5</f>
        <v>40</v>
      </c>
      <c r="I64" s="59">
        <f>SUM(I65:I72)</f>
        <v>0</v>
      </c>
      <c r="J64" s="60">
        <f>IF(I64=0,(0),SUM(J65:J72))</f>
        <v>0</v>
      </c>
      <c r="K64" s="61"/>
      <c r="L64" s="27"/>
      <c r="M64" s="62">
        <f>SUM(M65:M72)-COUNTIF(N65:N72,"False")*5</f>
        <v>40</v>
      </c>
      <c r="N64" s="29"/>
      <c r="O64" s="29"/>
      <c r="P64" s="5"/>
    </row>
    <row r="65" spans="3:16" s="7" customFormat="1" ht="64.900000000000006" customHeight="1">
      <c r="C65" s="63">
        <v>55</v>
      </c>
      <c r="D65" s="64" t="s">
        <v>84</v>
      </c>
      <c r="E65" s="33"/>
      <c r="F65" s="33"/>
      <c r="G65" s="33"/>
      <c r="H65" s="48">
        <v>5</v>
      </c>
      <c r="I65" s="35">
        <f t="shared" ref="I65:I72" si="10">IF(E65="O",5,IF(F65="O",2.5,IF(G65="O",0,0)))</f>
        <v>0</v>
      </c>
      <c r="J65" s="36">
        <f t="shared" ref="J65:J72" si="11">I65*100/$H$64</f>
        <v>0</v>
      </c>
      <c r="K65" s="42"/>
      <c r="L65" s="282"/>
      <c r="M65" s="48">
        <v>5</v>
      </c>
      <c r="N65" s="283"/>
      <c r="O65" s="283"/>
      <c r="P65" s="6"/>
    </row>
    <row r="66" spans="3:16" s="7" customFormat="1" ht="105" customHeight="1">
      <c r="C66" s="38">
        <v>56</v>
      </c>
      <c r="D66" s="83" t="s">
        <v>85</v>
      </c>
      <c r="E66" s="33"/>
      <c r="F66" s="33"/>
      <c r="G66" s="33"/>
      <c r="H66" s="48">
        <v>5</v>
      </c>
      <c r="I66" s="35">
        <f t="shared" si="10"/>
        <v>0</v>
      </c>
      <c r="J66" s="36">
        <f t="shared" si="11"/>
        <v>0</v>
      </c>
      <c r="K66" s="71"/>
      <c r="L66" s="282"/>
      <c r="M66" s="48">
        <v>5</v>
      </c>
      <c r="N66" s="283"/>
      <c r="O66" s="283"/>
      <c r="P66" s="6"/>
    </row>
    <row r="67" spans="3:16" s="7" customFormat="1" ht="94.15" customHeight="1">
      <c r="C67" s="38">
        <v>57</v>
      </c>
      <c r="D67" s="83" t="s">
        <v>86</v>
      </c>
      <c r="E67" s="33"/>
      <c r="F67" s="33"/>
      <c r="G67" s="33"/>
      <c r="H67" s="48">
        <v>5</v>
      </c>
      <c r="I67" s="35">
        <f t="shared" si="10"/>
        <v>0</v>
      </c>
      <c r="J67" s="36">
        <f t="shared" si="11"/>
        <v>0</v>
      </c>
      <c r="K67" s="42"/>
      <c r="L67" s="282"/>
      <c r="M67" s="48">
        <v>5</v>
      </c>
      <c r="N67" s="283"/>
      <c r="O67" s="283"/>
      <c r="P67" s="6"/>
    </row>
    <row r="68" spans="3:16" s="7" customFormat="1" ht="63.6" customHeight="1">
      <c r="C68" s="38">
        <v>58</v>
      </c>
      <c r="D68" s="83" t="s">
        <v>87</v>
      </c>
      <c r="E68" s="33"/>
      <c r="F68" s="33"/>
      <c r="G68" s="33"/>
      <c r="H68" s="48">
        <v>5</v>
      </c>
      <c r="I68" s="35">
        <f t="shared" si="10"/>
        <v>0</v>
      </c>
      <c r="J68" s="36">
        <f t="shared" si="11"/>
        <v>0</v>
      </c>
      <c r="K68" s="42"/>
      <c r="L68" s="282"/>
      <c r="M68" s="48">
        <v>5</v>
      </c>
      <c r="N68" s="283"/>
      <c r="O68" s="283"/>
      <c r="P68" s="6"/>
    </row>
    <row r="69" spans="3:16" s="7" customFormat="1" ht="92.45" customHeight="1">
      <c r="C69" s="38">
        <v>59</v>
      </c>
      <c r="D69" s="83" t="s">
        <v>88</v>
      </c>
      <c r="E69" s="33"/>
      <c r="F69" s="33"/>
      <c r="G69" s="33"/>
      <c r="H69" s="48">
        <v>5</v>
      </c>
      <c r="I69" s="35">
        <f t="shared" si="10"/>
        <v>0</v>
      </c>
      <c r="J69" s="36">
        <f t="shared" si="11"/>
        <v>0</v>
      </c>
      <c r="K69" s="42"/>
      <c r="L69" s="282"/>
      <c r="M69" s="48">
        <v>5</v>
      </c>
      <c r="N69" s="283"/>
      <c r="O69" s="283"/>
      <c r="P69" s="6"/>
    </row>
    <row r="70" spans="3:16" s="7" customFormat="1" ht="79.900000000000006" customHeight="1">
      <c r="C70" s="38">
        <v>60</v>
      </c>
      <c r="D70" s="64" t="s">
        <v>89</v>
      </c>
      <c r="E70" s="33"/>
      <c r="F70" s="33"/>
      <c r="G70" s="33"/>
      <c r="H70" s="48">
        <v>5</v>
      </c>
      <c r="I70" s="35">
        <f t="shared" si="10"/>
        <v>0</v>
      </c>
      <c r="J70" s="36">
        <f t="shared" si="11"/>
        <v>0</v>
      </c>
      <c r="K70" s="43"/>
      <c r="L70" s="282"/>
      <c r="M70" s="48">
        <v>5</v>
      </c>
      <c r="N70" s="283"/>
      <c r="O70" s="283"/>
      <c r="P70" s="6"/>
    </row>
    <row r="71" spans="3:16" s="7" customFormat="1" ht="109.15" customHeight="1">
      <c r="C71" s="38">
        <v>61</v>
      </c>
      <c r="D71" s="64" t="s">
        <v>90</v>
      </c>
      <c r="E71" s="33"/>
      <c r="F71" s="33"/>
      <c r="G71" s="33"/>
      <c r="H71" s="48">
        <v>5</v>
      </c>
      <c r="I71" s="35">
        <f t="shared" si="10"/>
        <v>0</v>
      </c>
      <c r="J71" s="36">
        <f t="shared" si="11"/>
        <v>0</v>
      </c>
      <c r="K71" s="42"/>
      <c r="L71" s="282"/>
      <c r="M71" s="48">
        <v>5</v>
      </c>
      <c r="N71" s="283"/>
      <c r="O71" s="283"/>
      <c r="P71" s="6"/>
    </row>
    <row r="72" spans="3:16" s="7" customFormat="1" ht="19.5" customHeight="1">
      <c r="C72" s="49">
        <v>62</v>
      </c>
      <c r="D72" s="85" t="s">
        <v>91</v>
      </c>
      <c r="E72" s="66"/>
      <c r="F72" s="66"/>
      <c r="G72" s="66"/>
      <c r="H72" s="67">
        <v>5</v>
      </c>
      <c r="I72" s="53">
        <f t="shared" si="10"/>
        <v>0</v>
      </c>
      <c r="J72" s="54">
        <f t="shared" si="11"/>
        <v>0</v>
      </c>
      <c r="K72" s="86"/>
      <c r="L72" s="282"/>
      <c r="M72" s="67">
        <v>5</v>
      </c>
      <c r="N72" s="283"/>
      <c r="O72" s="283"/>
      <c r="P72" s="6"/>
    </row>
    <row r="73" spans="3:16" s="30" customFormat="1" ht="19.5" customHeight="1">
      <c r="C73" s="56"/>
      <c r="D73" s="57" t="s">
        <v>92</v>
      </c>
      <c r="E73" s="70" t="s">
        <v>93</v>
      </c>
      <c r="F73" s="58" t="s">
        <v>94</v>
      </c>
      <c r="G73" s="58" t="s">
        <v>13</v>
      </c>
      <c r="H73" s="59">
        <f>SUM(H74:H83)-COUNTIF(I74:I83,"False")*5</f>
        <v>50</v>
      </c>
      <c r="I73" s="59">
        <f>SUM(I74:I83)</f>
        <v>0</v>
      </c>
      <c r="J73" s="60">
        <f>IF(I73=0,(0),SUM(J74:J83))</f>
        <v>0</v>
      </c>
      <c r="K73" s="61"/>
      <c r="L73" s="27"/>
      <c r="M73" s="62">
        <f>SUM(M74:M83)-COUNTIF(N74:N83,"False")*5</f>
        <v>45</v>
      </c>
      <c r="N73" s="29"/>
      <c r="O73" s="29"/>
      <c r="P73" s="5"/>
    </row>
    <row r="74" spans="3:16" s="7" customFormat="1" ht="19.5" customHeight="1">
      <c r="C74" s="63">
        <v>63</v>
      </c>
      <c r="D74" s="87" t="s">
        <v>95</v>
      </c>
      <c r="E74" s="33"/>
      <c r="F74" s="33"/>
      <c r="G74" s="33"/>
      <c r="H74" s="48">
        <v>5</v>
      </c>
      <c r="I74" s="35">
        <f t="shared" ref="I74:I83" si="12">IF(E74="O",5,IF(F74="O",2.5,IF(G74="O",0,0)))</f>
        <v>0</v>
      </c>
      <c r="J74" s="36">
        <f t="shared" ref="J74:J83" si="13">I74*100/$H$73</f>
        <v>0</v>
      </c>
      <c r="K74" s="42"/>
      <c r="L74" s="282"/>
      <c r="M74" s="48">
        <v>5</v>
      </c>
      <c r="N74" s="283"/>
      <c r="O74" s="88"/>
      <c r="P74" s="6"/>
    </row>
    <row r="75" spans="3:16" s="7" customFormat="1" ht="36.6" customHeight="1">
      <c r="C75" s="38">
        <v>64</v>
      </c>
      <c r="D75" s="64" t="s">
        <v>96</v>
      </c>
      <c r="E75" s="33"/>
      <c r="F75" s="33"/>
      <c r="G75" s="33"/>
      <c r="H75" s="48">
        <v>5</v>
      </c>
      <c r="I75" s="35">
        <f t="shared" si="12"/>
        <v>0</v>
      </c>
      <c r="J75" s="36">
        <f t="shared" si="13"/>
        <v>0</v>
      </c>
      <c r="K75" s="42"/>
      <c r="L75" s="282"/>
      <c r="M75" s="48">
        <v>5</v>
      </c>
      <c r="N75" s="283"/>
      <c r="O75" s="88"/>
      <c r="P75" s="6"/>
    </row>
    <row r="76" spans="3:16" s="7" customFormat="1" ht="19.5" customHeight="1">
      <c r="C76" s="38">
        <v>65</v>
      </c>
      <c r="D76" s="87" t="s">
        <v>97</v>
      </c>
      <c r="E76" s="33"/>
      <c r="F76" s="33"/>
      <c r="G76" s="33"/>
      <c r="H76" s="48">
        <v>5</v>
      </c>
      <c r="I76" s="35">
        <f t="shared" si="12"/>
        <v>0</v>
      </c>
      <c r="J76" s="36">
        <f t="shared" si="13"/>
        <v>0</v>
      </c>
      <c r="K76" s="42"/>
      <c r="L76" s="282"/>
      <c r="M76" s="48">
        <v>5</v>
      </c>
      <c r="N76" s="283"/>
      <c r="O76" s="88"/>
      <c r="P76" s="6"/>
    </row>
    <row r="77" spans="3:16" s="7" customFormat="1" ht="19.5" customHeight="1">
      <c r="C77" s="38">
        <v>66</v>
      </c>
      <c r="D77" s="87" t="s">
        <v>98</v>
      </c>
      <c r="E77" s="33"/>
      <c r="F77" s="33"/>
      <c r="G77" s="33"/>
      <c r="H77" s="48">
        <v>5</v>
      </c>
      <c r="I77" s="35">
        <f t="shared" si="12"/>
        <v>0</v>
      </c>
      <c r="J77" s="36">
        <f t="shared" si="13"/>
        <v>0</v>
      </c>
      <c r="K77" s="42"/>
      <c r="L77" s="282"/>
      <c r="M77" s="48">
        <v>5</v>
      </c>
      <c r="N77" s="283"/>
      <c r="O77" s="89"/>
      <c r="P77" s="6"/>
    </row>
    <row r="78" spans="3:16" s="7" customFormat="1" ht="19.5" customHeight="1">
      <c r="C78" s="38">
        <v>67</v>
      </c>
      <c r="D78" s="87" t="s">
        <v>99</v>
      </c>
      <c r="E78" s="33"/>
      <c r="F78" s="33"/>
      <c r="G78" s="33"/>
      <c r="H78" s="48">
        <v>5</v>
      </c>
      <c r="I78" s="35">
        <f t="shared" si="12"/>
        <v>0</v>
      </c>
      <c r="J78" s="36">
        <f t="shared" si="13"/>
        <v>0</v>
      </c>
      <c r="K78" s="42"/>
      <c r="L78" s="282"/>
      <c r="M78" s="48">
        <v>5</v>
      </c>
      <c r="N78" s="283"/>
      <c r="O78" s="88"/>
      <c r="P78" s="6"/>
    </row>
    <row r="79" spans="3:16" s="7" customFormat="1" ht="19.5" customHeight="1">
      <c r="C79" s="38">
        <v>68</v>
      </c>
      <c r="D79" s="87" t="s">
        <v>100</v>
      </c>
      <c r="E79" s="33"/>
      <c r="F79" s="33"/>
      <c r="G79" s="33"/>
      <c r="H79" s="48">
        <v>5</v>
      </c>
      <c r="I79" s="35">
        <f t="shared" si="12"/>
        <v>0</v>
      </c>
      <c r="J79" s="36">
        <f t="shared" si="13"/>
        <v>0</v>
      </c>
      <c r="K79" s="42"/>
      <c r="L79" s="282"/>
      <c r="M79" s="48"/>
      <c r="N79" s="283"/>
      <c r="O79" s="88"/>
      <c r="P79" s="6"/>
    </row>
    <row r="80" spans="3:16" s="7" customFormat="1" ht="19.5" customHeight="1">
      <c r="C80" s="38">
        <v>69</v>
      </c>
      <c r="D80" s="87" t="s">
        <v>101</v>
      </c>
      <c r="E80" s="33"/>
      <c r="F80" s="33"/>
      <c r="G80" s="33"/>
      <c r="H80" s="48">
        <v>5</v>
      </c>
      <c r="I80" s="35">
        <f t="shared" si="12"/>
        <v>0</v>
      </c>
      <c r="J80" s="36">
        <f t="shared" si="13"/>
        <v>0</v>
      </c>
      <c r="K80" s="42"/>
      <c r="L80" s="282"/>
      <c r="M80" s="48">
        <v>5</v>
      </c>
      <c r="N80" s="283"/>
      <c r="O80" s="88"/>
      <c r="P80" s="6"/>
    </row>
    <row r="81" spans="3:16" s="7" customFormat="1" ht="61.15" customHeight="1">
      <c r="C81" s="38">
        <v>70</v>
      </c>
      <c r="D81" s="64" t="s">
        <v>102</v>
      </c>
      <c r="E81" s="33"/>
      <c r="F81" s="33"/>
      <c r="G81" s="33"/>
      <c r="H81" s="48">
        <v>5</v>
      </c>
      <c r="I81" s="35">
        <f t="shared" si="12"/>
        <v>0</v>
      </c>
      <c r="J81" s="36">
        <f t="shared" si="13"/>
        <v>0</v>
      </c>
      <c r="K81" s="71"/>
      <c r="L81" s="282"/>
      <c r="M81" s="48">
        <v>5</v>
      </c>
      <c r="N81" s="283"/>
      <c r="O81" s="88"/>
      <c r="P81" s="6"/>
    </row>
    <row r="82" spans="3:16" s="7" customFormat="1" ht="34.9" customHeight="1">
      <c r="C82" s="38">
        <v>71</v>
      </c>
      <c r="D82" s="64" t="s">
        <v>103</v>
      </c>
      <c r="E82" s="33"/>
      <c r="F82" s="33"/>
      <c r="G82" s="33"/>
      <c r="H82" s="90">
        <v>5</v>
      </c>
      <c r="I82" s="35">
        <f t="shared" si="12"/>
        <v>0</v>
      </c>
      <c r="J82" s="36">
        <f t="shared" si="13"/>
        <v>0</v>
      </c>
      <c r="K82" s="42"/>
      <c r="L82" s="282"/>
      <c r="M82" s="90">
        <v>5</v>
      </c>
      <c r="N82" s="283"/>
      <c r="O82" s="88"/>
      <c r="P82" s="6"/>
    </row>
    <row r="83" spans="3:16" s="7" customFormat="1" ht="19.5" customHeight="1">
      <c r="C83" s="49">
        <v>72</v>
      </c>
      <c r="D83" s="91" t="s">
        <v>104</v>
      </c>
      <c r="E83" s="66"/>
      <c r="F83" s="66"/>
      <c r="G83" s="66"/>
      <c r="H83" s="67">
        <v>5</v>
      </c>
      <c r="I83" s="53">
        <f t="shared" si="12"/>
        <v>0</v>
      </c>
      <c r="J83" s="54">
        <f t="shared" si="13"/>
        <v>0</v>
      </c>
      <c r="K83" s="86"/>
      <c r="L83" s="282"/>
      <c r="M83" s="67">
        <v>5</v>
      </c>
      <c r="N83" s="283"/>
      <c r="O83" s="88"/>
      <c r="P83" s="6"/>
    </row>
    <row r="84" spans="3:16" s="30" customFormat="1" ht="19.5" customHeight="1">
      <c r="C84" s="56"/>
      <c r="D84" s="57" t="s">
        <v>105</v>
      </c>
      <c r="E84" s="70" t="s">
        <v>106</v>
      </c>
      <c r="F84" s="58" t="s">
        <v>107</v>
      </c>
      <c r="G84" s="58" t="s">
        <v>108</v>
      </c>
      <c r="H84" s="59">
        <f>SUM(H85:H89)-COUNTIF(I85:I89,"False")*5</f>
        <v>25</v>
      </c>
      <c r="I84" s="59">
        <f>SUM(I85:I89)</f>
        <v>0</v>
      </c>
      <c r="J84" s="60">
        <f>IF(I84=0,(0),SUM(J85:J89))</f>
        <v>0</v>
      </c>
      <c r="K84" s="61"/>
      <c r="L84" s="27"/>
      <c r="M84" s="62">
        <f>SUM(M85:M89)-COUNTIF(N85:N89,"False")*5</f>
        <v>25</v>
      </c>
      <c r="N84" s="29"/>
      <c r="O84" s="29"/>
      <c r="P84" s="5"/>
    </row>
    <row r="85" spans="3:16" s="7" customFormat="1" ht="19.5" customHeight="1">
      <c r="C85" s="63">
        <v>73</v>
      </c>
      <c r="D85" s="87" t="s">
        <v>109</v>
      </c>
      <c r="E85" s="33"/>
      <c r="F85" s="33"/>
      <c r="G85" s="33"/>
      <c r="H85" s="48">
        <v>5</v>
      </c>
      <c r="I85" s="35">
        <f>IF(E85="O",5,IF(F85="O",2.5,IF(G85="O",0,0)))</f>
        <v>0</v>
      </c>
      <c r="J85" s="36">
        <f t="shared" ref="J85:J89" si="14">I85*100/$H$84</f>
        <v>0</v>
      </c>
      <c r="K85" s="42"/>
      <c r="L85" s="282"/>
      <c r="M85" s="48">
        <v>5</v>
      </c>
      <c r="N85" s="283"/>
      <c r="O85" s="284"/>
      <c r="P85" s="6"/>
    </row>
    <row r="86" spans="3:16" s="7" customFormat="1" ht="19.5" customHeight="1">
      <c r="C86" s="38">
        <v>74</v>
      </c>
      <c r="D86" s="87" t="s">
        <v>110</v>
      </c>
      <c r="E86" s="33"/>
      <c r="F86" s="33"/>
      <c r="G86" s="33"/>
      <c r="H86" s="48">
        <v>5</v>
      </c>
      <c r="I86" s="35">
        <f>IF(E86="O",5,IF(F86="O",2.5,IF(G86="O",0,0)))</f>
        <v>0</v>
      </c>
      <c r="J86" s="36">
        <f t="shared" si="14"/>
        <v>0</v>
      </c>
      <c r="K86" s="42"/>
      <c r="L86" s="282"/>
      <c r="M86" s="48">
        <v>5</v>
      </c>
      <c r="N86" s="283"/>
      <c r="O86" s="284"/>
      <c r="P86" s="6"/>
    </row>
    <row r="87" spans="3:16" s="7" customFormat="1" ht="19.5" customHeight="1">
      <c r="C87" s="38">
        <v>75</v>
      </c>
      <c r="D87" s="87" t="s">
        <v>111</v>
      </c>
      <c r="E87" s="33"/>
      <c r="F87" s="33"/>
      <c r="G87" s="33"/>
      <c r="H87" s="48">
        <v>5</v>
      </c>
      <c r="I87" s="35">
        <f>IF(E87="O",5,IF(F87="O",2.5,IF(G87="O",0,0)))</f>
        <v>0</v>
      </c>
      <c r="J87" s="36">
        <f t="shared" si="14"/>
        <v>0</v>
      </c>
      <c r="K87" s="42"/>
      <c r="L87" s="282"/>
      <c r="M87" s="48">
        <v>5</v>
      </c>
      <c r="N87" s="283"/>
      <c r="O87" s="284"/>
      <c r="P87" s="6"/>
    </row>
    <row r="88" spans="3:16" s="7" customFormat="1" ht="19.5" customHeight="1">
      <c r="C88" s="38">
        <v>76</v>
      </c>
      <c r="D88" s="87" t="s">
        <v>112</v>
      </c>
      <c r="E88" s="33"/>
      <c r="F88" s="33"/>
      <c r="G88" s="33"/>
      <c r="H88" s="48">
        <v>5</v>
      </c>
      <c r="I88" s="35">
        <f>IF(E88="O",5,IF(F88="O",2.5,IF(G88="O",0,0)))</f>
        <v>0</v>
      </c>
      <c r="J88" s="36">
        <f t="shared" si="14"/>
        <v>0</v>
      </c>
      <c r="K88" s="42"/>
      <c r="L88" s="282"/>
      <c r="M88" s="48">
        <v>5</v>
      </c>
      <c r="N88" s="283"/>
      <c r="O88" s="284"/>
      <c r="P88" s="6"/>
    </row>
    <row r="89" spans="3:16" s="7" customFormat="1" ht="19.5" customHeight="1">
      <c r="C89" s="49">
        <v>77</v>
      </c>
      <c r="D89" s="92" t="s">
        <v>113</v>
      </c>
      <c r="E89" s="66"/>
      <c r="F89" s="66"/>
      <c r="G89" s="66"/>
      <c r="H89" s="67">
        <v>5</v>
      </c>
      <c r="I89" s="53">
        <f>IF(E89="O",5,IF(F89="O",2.5,IF(G89="O",0,0)))</f>
        <v>0</v>
      </c>
      <c r="J89" s="54">
        <f t="shared" si="14"/>
        <v>0</v>
      </c>
      <c r="K89" s="86"/>
      <c r="L89" s="282"/>
      <c r="M89" s="67">
        <v>5</v>
      </c>
      <c r="N89" s="283"/>
      <c r="O89" s="284"/>
      <c r="P89" s="6"/>
    </row>
    <row r="90" spans="3:16" s="30" customFormat="1" ht="19.5" customHeight="1">
      <c r="C90" s="56"/>
      <c r="D90" s="57" t="s">
        <v>114</v>
      </c>
      <c r="E90" s="70" t="s">
        <v>31</v>
      </c>
      <c r="F90" s="58" t="s">
        <v>115</v>
      </c>
      <c r="G90" s="58" t="s">
        <v>108</v>
      </c>
      <c r="H90" s="59">
        <f>SUM(H91:H96)-COUNTIF(I91:I96,"False")*5</f>
        <v>30</v>
      </c>
      <c r="I90" s="59">
        <f>SUM(I91:I96)</f>
        <v>0</v>
      </c>
      <c r="J90" s="60">
        <f>IF(I90=0,(0),SUM(J91:J96))</f>
        <v>0</v>
      </c>
      <c r="K90" s="61"/>
      <c r="L90" s="27"/>
      <c r="M90" s="62">
        <f>SUM(M91:M96)-COUNTIF(N91:N96,"False")*5</f>
        <v>30</v>
      </c>
      <c r="N90" s="29"/>
      <c r="O90" s="29"/>
      <c r="P90" s="5"/>
    </row>
    <row r="91" spans="3:16" s="7" customFormat="1" ht="19.5" customHeight="1">
      <c r="C91" s="63">
        <v>78</v>
      </c>
      <c r="D91" s="93" t="s">
        <v>116</v>
      </c>
      <c r="E91" s="33"/>
      <c r="F91" s="33"/>
      <c r="G91" s="33"/>
      <c r="H91" s="48">
        <v>5</v>
      </c>
      <c r="I91" s="35">
        <f t="shared" ref="I91:I96" si="15">IF(E91="O",5,IF(F91="O",2.5,IF(G91="O",0,0)))</f>
        <v>0</v>
      </c>
      <c r="J91" s="36">
        <f t="shared" ref="J91:J96" si="16">I91*100/$H$90</f>
        <v>0</v>
      </c>
      <c r="K91" s="42"/>
      <c r="L91" s="282"/>
      <c r="M91" s="48">
        <v>5</v>
      </c>
      <c r="N91" s="283"/>
      <c r="O91" s="88"/>
      <c r="P91" s="6"/>
    </row>
    <row r="92" spans="3:16" s="7" customFormat="1" ht="19.5" customHeight="1">
      <c r="C92" s="38">
        <v>79</v>
      </c>
      <c r="D92" s="93" t="s">
        <v>117</v>
      </c>
      <c r="E92" s="33"/>
      <c r="F92" s="33"/>
      <c r="G92" s="33"/>
      <c r="H92" s="48">
        <v>5</v>
      </c>
      <c r="I92" s="35">
        <f t="shared" si="15"/>
        <v>0</v>
      </c>
      <c r="J92" s="36">
        <f t="shared" si="16"/>
        <v>0</v>
      </c>
      <c r="K92" s="42"/>
      <c r="L92" s="282"/>
      <c r="M92" s="48">
        <v>5</v>
      </c>
      <c r="N92" s="283"/>
      <c r="O92" s="88"/>
      <c r="P92" s="6"/>
    </row>
    <row r="93" spans="3:16" s="7" customFormat="1" ht="19.5" customHeight="1">
      <c r="C93" s="38">
        <v>80</v>
      </c>
      <c r="D93" s="93" t="s">
        <v>118</v>
      </c>
      <c r="E93" s="33"/>
      <c r="F93" s="33"/>
      <c r="G93" s="33"/>
      <c r="H93" s="48">
        <v>5</v>
      </c>
      <c r="I93" s="35">
        <f t="shared" si="15"/>
        <v>0</v>
      </c>
      <c r="J93" s="36">
        <f t="shared" si="16"/>
        <v>0</v>
      </c>
      <c r="K93" s="42"/>
      <c r="L93" s="282"/>
      <c r="M93" s="48">
        <v>5</v>
      </c>
      <c r="N93" s="283"/>
      <c r="O93" s="88"/>
      <c r="P93" s="6"/>
    </row>
    <row r="94" spans="3:16" s="7" customFormat="1" ht="19.5" customHeight="1">
      <c r="C94" s="38">
        <v>81</v>
      </c>
      <c r="D94" s="93" t="s">
        <v>119</v>
      </c>
      <c r="E94" s="33"/>
      <c r="F94" s="33"/>
      <c r="G94" s="33"/>
      <c r="H94" s="48">
        <v>5</v>
      </c>
      <c r="I94" s="35">
        <f t="shared" si="15"/>
        <v>0</v>
      </c>
      <c r="J94" s="36">
        <f t="shared" si="16"/>
        <v>0</v>
      </c>
      <c r="K94" s="42"/>
      <c r="L94" s="282"/>
      <c r="M94" s="48">
        <v>5</v>
      </c>
      <c r="N94" s="283"/>
      <c r="O94" s="88"/>
      <c r="P94" s="6"/>
    </row>
    <row r="95" spans="3:16" s="7" customFormat="1" ht="19.5" customHeight="1">
      <c r="C95" s="38">
        <v>82</v>
      </c>
      <c r="D95" s="93" t="s">
        <v>120</v>
      </c>
      <c r="E95" s="33"/>
      <c r="F95" s="33"/>
      <c r="G95" s="33"/>
      <c r="H95" s="48">
        <v>5</v>
      </c>
      <c r="I95" s="35">
        <f t="shared" si="15"/>
        <v>0</v>
      </c>
      <c r="J95" s="36">
        <f t="shared" si="16"/>
        <v>0</v>
      </c>
      <c r="K95" s="42"/>
      <c r="L95" s="282"/>
      <c r="M95" s="48">
        <v>5</v>
      </c>
      <c r="N95" s="283"/>
      <c r="O95" s="88"/>
      <c r="P95" s="6"/>
    </row>
    <row r="96" spans="3:16" s="7" customFormat="1" ht="19.5" customHeight="1">
      <c r="C96" s="49">
        <v>83</v>
      </c>
      <c r="D96" s="94" t="s">
        <v>121</v>
      </c>
      <c r="E96" s="66"/>
      <c r="F96" s="66"/>
      <c r="G96" s="66"/>
      <c r="H96" s="67">
        <v>5</v>
      </c>
      <c r="I96" s="53">
        <f t="shared" si="15"/>
        <v>0</v>
      </c>
      <c r="J96" s="54">
        <f t="shared" si="16"/>
        <v>0</v>
      </c>
      <c r="K96" s="86"/>
      <c r="L96" s="282"/>
      <c r="M96" s="67">
        <v>5</v>
      </c>
      <c r="N96" s="283"/>
      <c r="O96" s="88"/>
      <c r="P96" s="6"/>
    </row>
    <row r="97" spans="1:16" s="30" customFormat="1" ht="19.5" customHeight="1">
      <c r="C97" s="56"/>
      <c r="D97" s="57" t="s">
        <v>122</v>
      </c>
      <c r="E97" s="70" t="s">
        <v>31</v>
      </c>
      <c r="F97" s="58" t="s">
        <v>32</v>
      </c>
      <c r="G97" s="58" t="s">
        <v>123</v>
      </c>
      <c r="H97" s="59">
        <f>SUM(H98:H101)-COUNTIF(I98:I101,"False")*5</f>
        <v>20</v>
      </c>
      <c r="I97" s="59">
        <f>SUM(I98:I101)</f>
        <v>0</v>
      </c>
      <c r="J97" s="60">
        <f>IF(I97=0,(0),SUM(J98:J101))</f>
        <v>0</v>
      </c>
      <c r="K97" s="61"/>
      <c r="L97" s="27"/>
      <c r="M97" s="62">
        <f>SUM(M98:M101)-COUNTIF(N98:N101,"False")*5</f>
        <v>20</v>
      </c>
      <c r="N97" s="29"/>
      <c r="O97" s="29"/>
      <c r="P97" s="5"/>
    </row>
    <row r="98" spans="1:16" s="7" customFormat="1" ht="19.5" customHeight="1">
      <c r="C98" s="63">
        <v>84</v>
      </c>
      <c r="D98" s="93" t="s">
        <v>124</v>
      </c>
      <c r="E98" s="33"/>
      <c r="F98" s="33"/>
      <c r="G98" s="33"/>
      <c r="H98" s="48">
        <v>5</v>
      </c>
      <c r="I98" s="35">
        <f>IF(E98="O",5,IF(F98="O",2.5,IF(G98="O",0,0)))</f>
        <v>0</v>
      </c>
      <c r="J98" s="36">
        <f>I98*100/$H$97</f>
        <v>0</v>
      </c>
      <c r="K98" s="43"/>
      <c r="L98" s="282"/>
      <c r="M98" s="48">
        <v>5</v>
      </c>
      <c r="N98" s="283"/>
      <c r="O98" s="88"/>
      <c r="P98" s="6"/>
    </row>
    <row r="99" spans="1:16" s="7" customFormat="1" ht="19.5" customHeight="1">
      <c r="C99" s="38">
        <v>85</v>
      </c>
      <c r="D99" s="93" t="s">
        <v>125</v>
      </c>
      <c r="E99" s="33"/>
      <c r="F99" s="33"/>
      <c r="G99" s="33"/>
      <c r="H99" s="48">
        <v>5</v>
      </c>
      <c r="I99" s="35">
        <f>IF(E99="O",5,IF(F99="O",2.5,IF(G99="O",0,0)))</f>
        <v>0</v>
      </c>
      <c r="J99" s="36">
        <f>I99*100/$H$97</f>
        <v>0</v>
      </c>
      <c r="K99" s="42"/>
      <c r="L99" s="282"/>
      <c r="M99" s="48">
        <v>5</v>
      </c>
      <c r="N99" s="283"/>
      <c r="O99" s="88"/>
      <c r="P99" s="6"/>
    </row>
    <row r="100" spans="1:16" s="7" customFormat="1" ht="19.5" customHeight="1">
      <c r="C100" s="38">
        <v>86</v>
      </c>
      <c r="D100" s="93" t="s">
        <v>126</v>
      </c>
      <c r="E100" s="33"/>
      <c r="F100" s="33"/>
      <c r="G100" s="33"/>
      <c r="H100" s="48">
        <v>5</v>
      </c>
      <c r="I100" s="35">
        <f>IF(E100="O",5,IF(F100="O",2.5,IF(G100="O",0,0)))</f>
        <v>0</v>
      </c>
      <c r="J100" s="36">
        <f>I100*100/$H$97</f>
        <v>0</v>
      </c>
      <c r="K100" s="42"/>
      <c r="L100" s="282"/>
      <c r="M100" s="48">
        <v>5</v>
      </c>
      <c r="N100" s="283"/>
      <c r="O100" s="88"/>
      <c r="P100" s="6"/>
    </row>
    <row r="101" spans="1:16" s="7" customFormat="1" ht="19.5" customHeight="1">
      <c r="C101" s="49">
        <v>87</v>
      </c>
      <c r="D101" s="94" t="s">
        <v>127</v>
      </c>
      <c r="E101" s="66"/>
      <c r="F101" s="66"/>
      <c r="G101" s="66"/>
      <c r="H101" s="67">
        <v>5</v>
      </c>
      <c r="I101" s="53">
        <f>IF(E101="O",5,IF(F101="O",2.5,IF(G101="O",0,0)))</f>
        <v>0</v>
      </c>
      <c r="J101" s="54">
        <f>I101*100/$H$97</f>
        <v>0</v>
      </c>
      <c r="K101" s="68"/>
      <c r="L101" s="282"/>
      <c r="M101" s="67">
        <v>5</v>
      </c>
      <c r="N101" s="283"/>
      <c r="O101" s="88"/>
      <c r="P101" s="6"/>
    </row>
    <row r="102" spans="1:16" s="30" customFormat="1" ht="19.5" customHeight="1">
      <c r="C102" s="56"/>
      <c r="D102" s="69" t="s">
        <v>128</v>
      </c>
      <c r="E102" s="70" t="s">
        <v>43</v>
      </c>
      <c r="F102" s="58" t="s">
        <v>115</v>
      </c>
      <c r="G102" s="58" t="s">
        <v>44</v>
      </c>
      <c r="H102" s="59">
        <f>SUM(H103:H106)-COUNTIF(I103:I106,"False")*5</f>
        <v>40</v>
      </c>
      <c r="I102" s="59">
        <f>SUM(I103:I106)</f>
        <v>0</v>
      </c>
      <c r="J102" s="60">
        <f>IF(I102=0,(0),SUM(J103:J106))</f>
        <v>0</v>
      </c>
      <c r="K102" s="61"/>
      <c r="L102" s="27"/>
      <c r="M102" s="62">
        <f>SUM(M103:M106)-COUNTIF(N103:N104,"False")*5</f>
        <v>40</v>
      </c>
      <c r="N102" s="29"/>
      <c r="O102" s="29"/>
      <c r="P102" s="5"/>
    </row>
    <row r="103" spans="1:16" s="7" customFormat="1" ht="113.45" customHeight="1">
      <c r="C103" s="95">
        <v>88</v>
      </c>
      <c r="D103" s="96" t="s">
        <v>129</v>
      </c>
      <c r="E103" s="74"/>
      <c r="F103" s="74"/>
      <c r="G103" s="74"/>
      <c r="H103" s="97">
        <v>10</v>
      </c>
      <c r="I103" s="98">
        <f>IF(E103="O",10,IF(F103="O",5,IF(G103="O",0,0)))</f>
        <v>0</v>
      </c>
      <c r="J103" s="99">
        <f>I103*100/$H$102</f>
        <v>0</v>
      </c>
      <c r="K103" s="100"/>
      <c r="L103" s="282"/>
      <c r="M103" s="48">
        <v>10</v>
      </c>
      <c r="N103" s="285"/>
      <c r="O103" s="88"/>
      <c r="P103" s="6"/>
    </row>
    <row r="104" spans="1:16" s="7" customFormat="1" ht="119.45" customHeight="1">
      <c r="A104" s="1"/>
      <c r="C104" s="101">
        <v>89</v>
      </c>
      <c r="D104" s="102" t="s">
        <v>130</v>
      </c>
      <c r="E104" s="75"/>
      <c r="F104" s="75"/>
      <c r="G104" s="75"/>
      <c r="H104" s="90">
        <v>10</v>
      </c>
      <c r="I104" s="90">
        <f>IF(E104="O",10,IF(F104="O",5,IF(G104="O",0,0)))</f>
        <v>0</v>
      </c>
      <c r="J104" s="103">
        <f>I104*100/$H$102</f>
        <v>0</v>
      </c>
      <c r="K104" s="104"/>
      <c r="L104" s="282"/>
      <c r="M104" s="67">
        <v>10</v>
      </c>
      <c r="N104" s="285"/>
      <c r="O104" s="88"/>
      <c r="P104" s="6"/>
    </row>
    <row r="105" spans="1:16" s="7" customFormat="1" ht="87" customHeight="1">
      <c r="A105" s="1"/>
      <c r="C105" s="101">
        <v>90</v>
      </c>
      <c r="D105" s="102" t="s">
        <v>131</v>
      </c>
      <c r="E105" s="75"/>
      <c r="F105" s="75"/>
      <c r="G105" s="75"/>
      <c r="H105" s="90">
        <v>10</v>
      </c>
      <c r="I105" s="90">
        <f>IF(E105="O",10,IF(F105="O",5,IF(G105="O",0,0)))</f>
        <v>0</v>
      </c>
      <c r="J105" s="103">
        <f>I105*100/$H$102</f>
        <v>0</v>
      </c>
      <c r="K105" s="105"/>
      <c r="L105" s="4"/>
      <c r="M105" s="106">
        <v>10</v>
      </c>
      <c r="N105" s="5"/>
      <c r="O105" s="88"/>
      <c r="P105" s="6"/>
    </row>
    <row r="106" spans="1:16" s="7" customFormat="1" ht="86.45" customHeight="1" thickBot="1">
      <c r="A106" s="1"/>
      <c r="C106" s="107">
        <v>91</v>
      </c>
      <c r="D106" s="108" t="s">
        <v>132</v>
      </c>
      <c r="E106" s="109"/>
      <c r="F106" s="109"/>
      <c r="G106" s="109"/>
      <c r="H106" s="110">
        <v>10</v>
      </c>
      <c r="I106" s="110">
        <f>IF(E106="O",10,IF(F106="O",5,IF(G106="O",0,0)))</f>
        <v>0</v>
      </c>
      <c r="J106" s="111">
        <f>I106*100/$H$102</f>
        <v>0</v>
      </c>
      <c r="K106" s="112"/>
      <c r="L106" s="4"/>
      <c r="M106" s="106">
        <v>10</v>
      </c>
      <c r="N106" s="5"/>
      <c r="O106" s="88"/>
      <c r="P106" s="6"/>
    </row>
    <row r="107" spans="1:16" s="113" customFormat="1" ht="20.100000000000001" customHeight="1">
      <c r="C107" s="114"/>
      <c r="D107" s="115" t="s">
        <v>25</v>
      </c>
      <c r="E107" s="116"/>
      <c r="F107" s="116"/>
      <c r="G107" s="116"/>
      <c r="H107" s="114"/>
      <c r="I107" s="114"/>
      <c r="J107" s="114"/>
      <c r="K107" s="115"/>
      <c r="L107" s="117"/>
      <c r="M107" s="118">
        <f>SUM(M104:M106)</f>
        <v>30</v>
      </c>
      <c r="N107" s="119"/>
      <c r="O107" s="119"/>
      <c r="P107" s="119"/>
    </row>
    <row r="108" spans="1:16" s="113" customFormat="1" ht="20.100000000000001" customHeight="1">
      <c r="C108" s="114"/>
      <c r="D108" s="115"/>
      <c r="E108" s="116"/>
      <c r="F108" s="116"/>
      <c r="G108" s="116"/>
      <c r="H108" s="114"/>
      <c r="I108" s="114"/>
      <c r="J108" s="114"/>
      <c r="K108" s="115"/>
      <c r="L108" s="117"/>
      <c r="M108" s="114"/>
      <c r="N108" s="119"/>
      <c r="O108" s="119"/>
      <c r="P108" s="119"/>
    </row>
    <row r="109" spans="1:16" s="113" customFormat="1" ht="20.100000000000001" customHeight="1">
      <c r="C109" s="114"/>
      <c r="D109" s="120"/>
      <c r="E109" s="116"/>
      <c r="F109" s="116"/>
      <c r="G109" s="116"/>
      <c r="H109" s="114"/>
      <c r="I109" s="114"/>
      <c r="J109" s="114"/>
      <c r="K109" s="115"/>
      <c r="L109" s="117"/>
      <c r="M109" s="114"/>
      <c r="N109" s="119"/>
      <c r="O109" s="119"/>
      <c r="P109" s="119"/>
    </row>
    <row r="110" spans="1:16" s="113" customFormat="1" ht="20.100000000000001" customHeight="1">
      <c r="C110" s="114"/>
      <c r="E110" s="116"/>
      <c r="F110" s="116"/>
      <c r="G110" s="116"/>
      <c r="H110" s="114"/>
      <c r="I110" s="114"/>
      <c r="J110" s="114"/>
      <c r="K110" s="115"/>
      <c r="L110" s="117"/>
      <c r="M110" s="114"/>
      <c r="N110" s="119"/>
      <c r="O110" s="119"/>
      <c r="P110" s="119"/>
    </row>
    <row r="111" spans="1:16" s="113" customFormat="1" ht="20.100000000000001" customHeight="1">
      <c r="C111" s="114"/>
      <c r="E111" s="116"/>
      <c r="F111" s="116"/>
      <c r="G111" s="116"/>
      <c r="H111" s="114"/>
      <c r="I111" s="114"/>
      <c r="J111" s="114"/>
      <c r="K111" s="115"/>
      <c r="L111" s="117"/>
      <c r="M111" s="114"/>
      <c r="N111" s="119"/>
      <c r="O111" s="119"/>
      <c r="P111" s="119"/>
    </row>
    <row r="112" spans="1:16" s="113" customFormat="1" ht="20.100000000000001" customHeight="1">
      <c r="C112" s="114"/>
      <c r="E112" s="116"/>
      <c r="F112" s="116"/>
      <c r="G112" s="116"/>
      <c r="H112" s="114"/>
      <c r="I112" s="114"/>
      <c r="J112" s="114"/>
      <c r="K112" s="115"/>
      <c r="L112" s="117"/>
      <c r="M112" s="114"/>
      <c r="N112" s="119"/>
      <c r="O112" s="119"/>
      <c r="P112" s="119"/>
    </row>
    <row r="113" spans="3:16" s="113" customFormat="1" ht="20.100000000000001" customHeight="1">
      <c r="C113" s="114"/>
      <c r="E113" s="116"/>
      <c r="F113" s="116"/>
      <c r="G113" s="116"/>
      <c r="H113" s="114"/>
      <c r="I113" s="114"/>
      <c r="J113" s="114"/>
      <c r="K113" s="115"/>
      <c r="L113" s="117"/>
      <c r="M113" s="114"/>
      <c r="N113" s="119"/>
      <c r="O113" s="119"/>
      <c r="P113" s="119"/>
    </row>
    <row r="114" spans="3:16" s="113" customFormat="1" ht="20.100000000000001" customHeight="1">
      <c r="C114" s="114"/>
      <c r="E114" s="116"/>
      <c r="F114" s="116"/>
      <c r="G114" s="116"/>
      <c r="H114" s="114"/>
      <c r="I114" s="114"/>
      <c r="J114" s="114"/>
      <c r="K114" s="115"/>
      <c r="L114" s="117"/>
      <c r="M114" s="114"/>
      <c r="N114" s="119"/>
      <c r="O114" s="119"/>
      <c r="P114" s="119"/>
    </row>
    <row r="115" spans="3:16" s="113" customFormat="1" ht="20.100000000000001" customHeight="1">
      <c r="C115" s="114"/>
      <c r="E115" s="116"/>
      <c r="F115" s="116"/>
      <c r="G115" s="116"/>
      <c r="H115" s="114"/>
      <c r="I115" s="114"/>
      <c r="J115" s="114"/>
      <c r="K115" s="115"/>
      <c r="L115" s="117"/>
      <c r="M115" s="114"/>
      <c r="N115" s="119"/>
      <c r="O115" s="119"/>
      <c r="P115" s="119"/>
    </row>
    <row r="116" spans="3:16" s="113" customFormat="1" ht="20.100000000000001" customHeight="1">
      <c r="C116" s="114"/>
      <c r="E116" s="116"/>
      <c r="F116" s="116"/>
      <c r="G116" s="116"/>
      <c r="H116" s="114"/>
      <c r="I116" s="114"/>
      <c r="J116" s="114"/>
      <c r="K116" s="115"/>
      <c r="L116" s="117"/>
      <c r="M116" s="114"/>
      <c r="N116" s="119"/>
      <c r="O116" s="119"/>
      <c r="P116" s="119"/>
    </row>
    <row r="117" spans="3:16" s="113" customFormat="1" ht="20.100000000000001" customHeight="1">
      <c r="C117" s="114"/>
      <c r="E117" s="116"/>
      <c r="F117" s="116"/>
      <c r="G117" s="116"/>
      <c r="H117" s="114"/>
      <c r="I117" s="114"/>
      <c r="J117" s="114"/>
      <c r="K117" s="115"/>
      <c r="L117" s="117"/>
      <c r="M117" s="114"/>
      <c r="N117" s="119"/>
      <c r="O117" s="119"/>
      <c r="P117" s="119"/>
    </row>
    <row r="118" spans="3:16" s="113" customFormat="1" ht="20.100000000000001" customHeight="1">
      <c r="C118" s="114"/>
      <c r="E118" s="116"/>
      <c r="F118" s="116"/>
      <c r="G118" s="116"/>
      <c r="H118" s="114"/>
      <c r="I118" s="114"/>
      <c r="J118" s="114"/>
      <c r="K118" s="115"/>
      <c r="L118" s="117"/>
      <c r="M118" s="114"/>
      <c r="N118" s="119"/>
      <c r="O118" s="119"/>
      <c r="P118" s="119"/>
    </row>
    <row r="119" spans="3:16" s="113" customFormat="1" ht="20.100000000000001" customHeight="1">
      <c r="C119" s="114"/>
      <c r="E119" s="116"/>
      <c r="F119" s="116"/>
      <c r="G119" s="116"/>
      <c r="H119" s="114"/>
      <c r="I119" s="114"/>
      <c r="J119" s="114"/>
      <c r="K119" s="115"/>
      <c r="L119" s="117"/>
      <c r="M119" s="114"/>
      <c r="N119" s="119"/>
      <c r="O119" s="119"/>
      <c r="P119" s="119"/>
    </row>
    <row r="120" spans="3:16" s="113" customFormat="1" ht="20.100000000000001" customHeight="1">
      <c r="C120" s="114"/>
      <c r="E120" s="116"/>
      <c r="F120" s="116"/>
      <c r="G120" s="116"/>
      <c r="H120" s="114"/>
      <c r="I120" s="114"/>
      <c r="J120" s="114"/>
      <c r="K120" s="115"/>
      <c r="L120" s="117"/>
      <c r="M120" s="114"/>
      <c r="N120" s="119"/>
      <c r="O120" s="119"/>
      <c r="P120" s="119"/>
    </row>
    <row r="121" spans="3:16" s="113" customFormat="1" ht="20.100000000000001" customHeight="1">
      <c r="C121" s="114"/>
      <c r="E121" s="116"/>
      <c r="F121" s="116"/>
      <c r="G121" s="116"/>
      <c r="H121" s="114"/>
      <c r="I121" s="114"/>
      <c r="J121" s="114"/>
      <c r="K121" s="115"/>
      <c r="L121" s="117"/>
      <c r="M121" s="114"/>
      <c r="N121" s="119"/>
      <c r="O121" s="119"/>
      <c r="P121" s="119"/>
    </row>
    <row r="122" spans="3:16" s="113" customFormat="1" ht="20.100000000000001" customHeight="1">
      <c r="C122" s="114"/>
      <c r="E122" s="116"/>
      <c r="F122" s="116"/>
      <c r="G122" s="116"/>
      <c r="H122" s="114"/>
      <c r="I122" s="114"/>
      <c r="J122" s="114"/>
      <c r="K122" s="115"/>
      <c r="L122" s="117"/>
      <c r="M122" s="114"/>
      <c r="N122" s="119"/>
      <c r="O122" s="119"/>
      <c r="P122" s="119"/>
    </row>
    <row r="123" spans="3:16" s="113" customFormat="1" ht="20.100000000000001" customHeight="1">
      <c r="C123" s="114"/>
      <c r="E123" s="116"/>
      <c r="F123" s="116"/>
      <c r="G123" s="116"/>
      <c r="H123" s="114"/>
      <c r="I123" s="114"/>
      <c r="J123" s="114"/>
      <c r="K123" s="115"/>
      <c r="L123" s="117"/>
      <c r="M123" s="114"/>
      <c r="N123" s="119"/>
      <c r="O123" s="119"/>
      <c r="P123" s="119"/>
    </row>
    <row r="124" spans="3:16" s="113" customFormat="1" ht="20.100000000000001" customHeight="1">
      <c r="C124" s="114"/>
      <c r="E124" s="116"/>
      <c r="F124" s="116"/>
      <c r="G124" s="116"/>
      <c r="H124" s="114"/>
      <c r="I124" s="114"/>
      <c r="J124" s="114"/>
      <c r="K124" s="115"/>
      <c r="L124" s="117"/>
      <c r="M124" s="114"/>
      <c r="N124" s="119"/>
      <c r="O124" s="119"/>
      <c r="P124" s="119"/>
    </row>
    <row r="125" spans="3:16" s="113" customFormat="1" ht="20.100000000000001" customHeight="1">
      <c r="C125" s="114"/>
      <c r="E125" s="116"/>
      <c r="F125" s="116"/>
      <c r="G125" s="116"/>
      <c r="H125" s="114"/>
      <c r="I125" s="114"/>
      <c r="J125" s="114"/>
      <c r="K125" s="115"/>
      <c r="L125" s="117"/>
      <c r="M125" s="114"/>
      <c r="N125" s="119"/>
      <c r="O125" s="119"/>
      <c r="P125" s="119"/>
    </row>
    <row r="126" spans="3:16" s="113" customFormat="1" ht="20.100000000000001" customHeight="1">
      <c r="C126" s="114"/>
      <c r="E126" s="116"/>
      <c r="F126" s="116"/>
      <c r="G126" s="116"/>
      <c r="H126" s="114"/>
      <c r="I126" s="114"/>
      <c r="J126" s="114"/>
      <c r="K126" s="115"/>
      <c r="L126" s="117"/>
      <c r="M126" s="114"/>
      <c r="N126" s="119"/>
      <c r="O126" s="119"/>
      <c r="P126" s="119"/>
    </row>
    <row r="127" spans="3:16" s="113" customFormat="1" ht="20.100000000000001" customHeight="1">
      <c r="C127" s="114"/>
      <c r="E127" s="116"/>
      <c r="F127" s="116"/>
      <c r="G127" s="116"/>
      <c r="H127" s="114"/>
      <c r="I127" s="114"/>
      <c r="J127" s="114"/>
      <c r="K127" s="115"/>
      <c r="L127" s="117"/>
      <c r="M127" s="114"/>
      <c r="N127" s="119"/>
      <c r="O127" s="119"/>
      <c r="P127" s="119"/>
    </row>
    <row r="128" spans="3:16" s="113" customFormat="1" ht="20.100000000000001" customHeight="1">
      <c r="C128" s="114"/>
      <c r="E128" s="116"/>
      <c r="F128" s="116"/>
      <c r="G128" s="116"/>
      <c r="H128" s="114"/>
      <c r="I128" s="114"/>
      <c r="J128" s="114"/>
      <c r="K128" s="115"/>
      <c r="L128" s="117"/>
      <c r="M128" s="114"/>
      <c r="N128" s="119"/>
      <c r="O128" s="119"/>
      <c r="P128" s="119"/>
    </row>
    <row r="129" spans="3:16" s="113" customFormat="1" ht="20.100000000000001" customHeight="1">
      <c r="C129" s="114"/>
      <c r="E129" s="116"/>
      <c r="F129" s="116"/>
      <c r="G129" s="116"/>
      <c r="H129" s="114"/>
      <c r="I129" s="114"/>
      <c r="J129" s="114"/>
      <c r="K129" s="115"/>
      <c r="L129" s="117"/>
      <c r="M129" s="114"/>
      <c r="N129" s="119"/>
      <c r="O129" s="119"/>
      <c r="P129" s="119"/>
    </row>
    <row r="130" spans="3:16" s="113" customFormat="1" ht="20.100000000000001" customHeight="1">
      <c r="C130" s="114"/>
      <c r="E130" s="116"/>
      <c r="F130" s="116"/>
      <c r="G130" s="116"/>
      <c r="H130" s="114"/>
      <c r="I130" s="114"/>
      <c r="J130" s="114"/>
      <c r="K130" s="115"/>
      <c r="L130" s="117"/>
      <c r="M130" s="114"/>
      <c r="N130" s="119"/>
      <c r="O130" s="119"/>
      <c r="P130" s="119"/>
    </row>
    <row r="131" spans="3:16" s="113" customFormat="1" ht="20.100000000000001" customHeight="1">
      <c r="C131" s="114"/>
      <c r="E131" s="116"/>
      <c r="F131" s="116"/>
      <c r="G131" s="116"/>
      <c r="H131" s="114"/>
      <c r="I131" s="114"/>
      <c r="J131" s="114"/>
      <c r="K131" s="115"/>
      <c r="L131" s="117"/>
      <c r="M131" s="114"/>
      <c r="N131" s="119"/>
      <c r="O131" s="119"/>
      <c r="P131" s="119"/>
    </row>
    <row r="132" spans="3:16" s="113" customFormat="1" ht="20.100000000000001" customHeight="1">
      <c r="C132" s="114"/>
      <c r="E132" s="116"/>
      <c r="F132" s="116"/>
      <c r="G132" s="116"/>
      <c r="H132" s="114"/>
      <c r="I132" s="114"/>
      <c r="J132" s="114"/>
      <c r="K132" s="115"/>
      <c r="L132" s="117"/>
      <c r="M132" s="114"/>
      <c r="N132" s="119"/>
      <c r="O132" s="119"/>
      <c r="P132" s="119"/>
    </row>
    <row r="133" spans="3:16" s="113" customFormat="1" ht="20.100000000000001" customHeight="1">
      <c r="C133" s="114"/>
      <c r="E133" s="116"/>
      <c r="F133" s="116"/>
      <c r="G133" s="116"/>
      <c r="H133" s="114"/>
      <c r="I133" s="114"/>
      <c r="J133" s="114"/>
      <c r="K133" s="115"/>
      <c r="L133" s="117"/>
      <c r="M133" s="114"/>
      <c r="N133" s="119"/>
      <c r="O133" s="119"/>
      <c r="P133" s="119"/>
    </row>
    <row r="134" spans="3:16" s="113" customFormat="1" ht="20.100000000000001" customHeight="1">
      <c r="C134" s="114"/>
      <c r="E134" s="116"/>
      <c r="F134" s="116"/>
      <c r="G134" s="116"/>
      <c r="H134" s="114"/>
      <c r="I134" s="114"/>
      <c r="J134" s="114"/>
      <c r="K134" s="115"/>
      <c r="L134" s="117"/>
      <c r="M134" s="114"/>
      <c r="N134" s="119"/>
      <c r="O134" s="119"/>
      <c r="P134" s="119"/>
    </row>
    <row r="135" spans="3:16" s="113" customFormat="1" ht="20.100000000000001" customHeight="1">
      <c r="C135" s="114"/>
      <c r="E135" s="116"/>
      <c r="F135" s="116"/>
      <c r="G135" s="116"/>
      <c r="H135" s="114"/>
      <c r="I135" s="114"/>
      <c r="J135" s="114"/>
      <c r="K135" s="115"/>
      <c r="L135" s="117"/>
      <c r="M135" s="114"/>
      <c r="N135" s="119"/>
      <c r="O135" s="119"/>
      <c r="P135" s="119"/>
    </row>
    <row r="136" spans="3:16" s="113" customFormat="1" ht="20.100000000000001" customHeight="1">
      <c r="C136" s="114"/>
      <c r="E136" s="116"/>
      <c r="F136" s="116"/>
      <c r="G136" s="116"/>
      <c r="H136" s="114"/>
      <c r="I136" s="114"/>
      <c r="J136" s="114"/>
      <c r="K136" s="115"/>
      <c r="L136" s="117"/>
      <c r="M136" s="114"/>
      <c r="N136" s="119"/>
      <c r="O136" s="119"/>
      <c r="P136" s="119"/>
    </row>
    <row r="137" spans="3:16" s="113" customFormat="1" ht="20.100000000000001" customHeight="1">
      <c r="C137" s="114"/>
      <c r="E137" s="116"/>
      <c r="F137" s="116"/>
      <c r="G137" s="116"/>
      <c r="H137" s="114"/>
      <c r="I137" s="114"/>
      <c r="J137" s="114"/>
      <c r="K137" s="115"/>
      <c r="L137" s="117"/>
      <c r="M137" s="114"/>
      <c r="N137" s="119"/>
      <c r="O137" s="119"/>
      <c r="P137" s="119"/>
    </row>
    <row r="138" spans="3:16" s="113" customFormat="1" ht="20.100000000000001" customHeight="1">
      <c r="C138" s="114"/>
      <c r="E138" s="116"/>
      <c r="F138" s="116"/>
      <c r="G138" s="116"/>
      <c r="H138" s="114"/>
      <c r="I138" s="114"/>
      <c r="J138" s="114"/>
      <c r="K138" s="115"/>
      <c r="L138" s="117"/>
      <c r="M138" s="114"/>
      <c r="N138" s="119"/>
      <c r="O138" s="119"/>
      <c r="P138" s="119"/>
    </row>
    <row r="139" spans="3:16" s="113" customFormat="1" ht="20.100000000000001" customHeight="1">
      <c r="C139" s="114"/>
      <c r="E139" s="116"/>
      <c r="F139" s="116"/>
      <c r="G139" s="116"/>
      <c r="H139" s="114"/>
      <c r="I139" s="114"/>
      <c r="J139" s="114"/>
      <c r="K139" s="115"/>
      <c r="L139" s="117"/>
      <c r="M139" s="114"/>
      <c r="N139" s="119"/>
      <c r="O139" s="119"/>
      <c r="P139" s="119"/>
    </row>
    <row r="140" spans="3:16" s="113" customFormat="1" ht="20.100000000000001" customHeight="1">
      <c r="C140" s="114"/>
      <c r="E140" s="116"/>
      <c r="F140" s="116"/>
      <c r="G140" s="116"/>
      <c r="H140" s="114"/>
      <c r="I140" s="114"/>
      <c r="J140" s="114"/>
      <c r="K140" s="115"/>
      <c r="L140" s="117"/>
      <c r="M140" s="114"/>
      <c r="N140" s="119"/>
      <c r="O140" s="119"/>
      <c r="P140" s="119"/>
    </row>
    <row r="141" spans="3:16" s="113" customFormat="1" ht="20.100000000000001" customHeight="1">
      <c r="C141" s="114"/>
      <c r="E141" s="116"/>
      <c r="F141" s="116"/>
      <c r="G141" s="116"/>
      <c r="H141" s="114"/>
      <c r="I141" s="114"/>
      <c r="J141" s="114"/>
      <c r="K141" s="115"/>
      <c r="L141" s="117"/>
      <c r="M141" s="114"/>
      <c r="N141" s="119"/>
      <c r="O141" s="119"/>
      <c r="P141" s="119"/>
    </row>
    <row r="142" spans="3:16" s="113" customFormat="1" ht="20.100000000000001" customHeight="1">
      <c r="C142" s="114"/>
      <c r="E142" s="116"/>
      <c r="F142" s="116"/>
      <c r="G142" s="116"/>
      <c r="H142" s="114"/>
      <c r="I142" s="114"/>
      <c r="J142" s="114"/>
      <c r="K142" s="115"/>
      <c r="L142" s="117"/>
      <c r="M142" s="114"/>
      <c r="N142" s="119"/>
      <c r="O142" s="119"/>
      <c r="P142" s="119"/>
    </row>
    <row r="143" spans="3:16" s="113" customFormat="1" ht="20.100000000000001" customHeight="1">
      <c r="C143" s="114"/>
      <c r="E143" s="116"/>
      <c r="F143" s="116"/>
      <c r="G143" s="116"/>
      <c r="H143" s="114"/>
      <c r="I143" s="114"/>
      <c r="J143" s="114"/>
      <c r="K143" s="115"/>
      <c r="L143" s="117"/>
      <c r="M143" s="114"/>
      <c r="N143" s="119"/>
      <c r="O143" s="119"/>
      <c r="P143" s="119"/>
    </row>
    <row r="144" spans="3:16" s="113" customFormat="1" ht="20.100000000000001" customHeight="1">
      <c r="C144" s="114"/>
      <c r="E144" s="116"/>
      <c r="F144" s="116"/>
      <c r="G144" s="116"/>
      <c r="H144" s="114"/>
      <c r="I144" s="114"/>
      <c r="J144" s="114"/>
      <c r="K144" s="115"/>
      <c r="L144" s="117"/>
      <c r="M144" s="114"/>
      <c r="N144" s="119"/>
      <c r="O144" s="119"/>
      <c r="P144" s="119"/>
    </row>
    <row r="145" spans="3:16" s="113" customFormat="1" ht="20.100000000000001" customHeight="1">
      <c r="C145" s="114"/>
      <c r="E145" s="116"/>
      <c r="F145" s="116"/>
      <c r="G145" s="116"/>
      <c r="H145" s="114"/>
      <c r="I145" s="114"/>
      <c r="J145" s="114"/>
      <c r="K145" s="115"/>
      <c r="L145" s="117"/>
      <c r="M145" s="114"/>
      <c r="N145" s="119"/>
      <c r="O145" s="119"/>
      <c r="P145" s="119"/>
    </row>
    <row r="146" spans="3:16" s="113" customFormat="1" ht="20.100000000000001" customHeight="1">
      <c r="C146" s="114"/>
      <c r="E146" s="116"/>
      <c r="F146" s="116"/>
      <c r="G146" s="116"/>
      <c r="H146" s="114"/>
      <c r="I146" s="114"/>
      <c r="J146" s="114"/>
      <c r="K146" s="115"/>
      <c r="L146" s="117"/>
      <c r="M146" s="114"/>
      <c r="N146" s="119"/>
      <c r="O146" s="119"/>
      <c r="P146" s="119"/>
    </row>
    <row r="147" spans="3:16" s="113" customFormat="1" ht="20.100000000000001" customHeight="1">
      <c r="C147" s="114"/>
      <c r="E147" s="116"/>
      <c r="F147" s="116"/>
      <c r="G147" s="116"/>
      <c r="H147" s="114"/>
      <c r="I147" s="114"/>
      <c r="J147" s="114"/>
      <c r="K147" s="115"/>
      <c r="L147" s="117"/>
      <c r="M147" s="114"/>
      <c r="N147" s="119"/>
      <c r="O147" s="119"/>
      <c r="P147" s="119"/>
    </row>
    <row r="148" spans="3:16" s="113" customFormat="1" ht="20.100000000000001" customHeight="1">
      <c r="C148" s="114"/>
      <c r="E148" s="116"/>
      <c r="F148" s="116"/>
      <c r="G148" s="116"/>
      <c r="H148" s="114"/>
      <c r="I148" s="114"/>
      <c r="J148" s="114"/>
      <c r="K148" s="115"/>
      <c r="L148" s="117"/>
      <c r="M148" s="114"/>
      <c r="N148" s="119"/>
      <c r="O148" s="119"/>
      <c r="P148" s="119"/>
    </row>
    <row r="149" spans="3:16" s="113" customFormat="1" ht="20.100000000000001" customHeight="1">
      <c r="C149" s="114"/>
      <c r="E149" s="116"/>
      <c r="F149" s="116"/>
      <c r="G149" s="116"/>
      <c r="H149" s="114"/>
      <c r="I149" s="114"/>
      <c r="J149" s="114"/>
      <c r="K149" s="115"/>
      <c r="L149" s="117"/>
      <c r="M149" s="114"/>
      <c r="N149" s="119"/>
      <c r="O149" s="119"/>
      <c r="P149" s="119"/>
    </row>
    <row r="150" spans="3:16" s="113" customFormat="1" ht="20.100000000000001" customHeight="1">
      <c r="C150" s="114"/>
      <c r="E150" s="116"/>
      <c r="F150" s="116"/>
      <c r="G150" s="116"/>
      <c r="H150" s="114"/>
      <c r="I150" s="114"/>
      <c r="J150" s="114"/>
      <c r="K150" s="115"/>
      <c r="L150" s="117"/>
      <c r="M150" s="114"/>
      <c r="N150" s="119"/>
      <c r="O150" s="119"/>
      <c r="P150" s="119"/>
    </row>
    <row r="151" spans="3:16" s="113" customFormat="1" ht="20.100000000000001" customHeight="1">
      <c r="C151" s="114"/>
      <c r="E151" s="116"/>
      <c r="F151" s="116"/>
      <c r="G151" s="116"/>
      <c r="H151" s="114"/>
      <c r="I151" s="114"/>
      <c r="J151" s="114"/>
      <c r="K151" s="115"/>
      <c r="L151" s="117"/>
      <c r="M151" s="114"/>
      <c r="N151" s="119"/>
      <c r="O151" s="119"/>
      <c r="P151" s="119"/>
    </row>
    <row r="152" spans="3:16" s="113" customFormat="1" ht="20.100000000000001" customHeight="1">
      <c r="C152" s="114"/>
      <c r="E152" s="116"/>
      <c r="F152" s="116"/>
      <c r="G152" s="116"/>
      <c r="H152" s="114"/>
      <c r="I152" s="114"/>
      <c r="J152" s="114"/>
      <c r="K152" s="115"/>
      <c r="L152" s="117"/>
      <c r="M152" s="114"/>
      <c r="N152" s="119"/>
      <c r="O152" s="119"/>
      <c r="P152" s="119"/>
    </row>
    <row r="153" spans="3:16" s="113" customFormat="1" ht="20.100000000000001" customHeight="1">
      <c r="C153" s="114"/>
      <c r="E153" s="116"/>
      <c r="F153" s="116"/>
      <c r="G153" s="116"/>
      <c r="H153" s="114"/>
      <c r="I153" s="114"/>
      <c r="J153" s="114"/>
      <c r="K153" s="115"/>
      <c r="L153" s="117"/>
      <c r="M153" s="114"/>
      <c r="N153" s="119"/>
      <c r="O153" s="119"/>
      <c r="P153" s="119"/>
    </row>
    <row r="154" spans="3:16" s="113" customFormat="1" ht="20.100000000000001" customHeight="1">
      <c r="C154" s="114"/>
      <c r="E154" s="116"/>
      <c r="F154" s="116"/>
      <c r="G154" s="116"/>
      <c r="H154" s="114"/>
      <c r="I154" s="114"/>
      <c r="J154" s="114"/>
      <c r="K154" s="115"/>
      <c r="L154" s="117"/>
      <c r="M154" s="114"/>
      <c r="N154" s="119"/>
      <c r="O154" s="119"/>
      <c r="P154" s="119"/>
    </row>
    <row r="155" spans="3:16" s="113" customFormat="1" ht="20.100000000000001" customHeight="1">
      <c r="C155" s="114"/>
      <c r="E155" s="116"/>
      <c r="F155" s="116"/>
      <c r="G155" s="116"/>
      <c r="H155" s="114"/>
      <c r="I155" s="114"/>
      <c r="J155" s="114"/>
      <c r="K155" s="115"/>
      <c r="L155" s="117"/>
      <c r="M155" s="114"/>
      <c r="N155" s="119"/>
      <c r="O155" s="119"/>
      <c r="P155" s="119"/>
    </row>
    <row r="156" spans="3:16" s="113" customFormat="1" ht="20.100000000000001" customHeight="1">
      <c r="C156" s="114"/>
      <c r="E156" s="116"/>
      <c r="F156" s="116"/>
      <c r="G156" s="116"/>
      <c r="H156" s="114"/>
      <c r="I156" s="114"/>
      <c r="J156" s="114"/>
      <c r="K156" s="115"/>
      <c r="L156" s="117"/>
      <c r="M156" s="114"/>
      <c r="N156" s="119"/>
      <c r="O156" s="119"/>
      <c r="P156" s="119"/>
    </row>
    <row r="157" spans="3:16" s="113" customFormat="1" ht="20.100000000000001" customHeight="1">
      <c r="C157" s="114"/>
      <c r="E157" s="116"/>
      <c r="F157" s="116"/>
      <c r="G157" s="116"/>
      <c r="H157" s="114"/>
      <c r="I157" s="114"/>
      <c r="J157" s="114"/>
      <c r="K157" s="115"/>
      <c r="L157" s="117"/>
      <c r="M157" s="114"/>
      <c r="N157" s="119"/>
      <c r="O157" s="119"/>
      <c r="P157" s="119"/>
    </row>
    <row r="158" spans="3:16" s="113" customFormat="1" ht="20.100000000000001" customHeight="1">
      <c r="C158" s="114"/>
      <c r="E158" s="116"/>
      <c r="F158" s="116"/>
      <c r="G158" s="116"/>
      <c r="H158" s="114"/>
      <c r="I158" s="114"/>
      <c r="J158" s="114"/>
      <c r="K158" s="115"/>
      <c r="L158" s="117"/>
      <c r="M158" s="114"/>
      <c r="N158" s="119"/>
      <c r="O158" s="119"/>
      <c r="P158" s="119"/>
    </row>
    <row r="159" spans="3:16" s="113" customFormat="1" ht="20.100000000000001" customHeight="1">
      <c r="C159" s="114"/>
      <c r="E159" s="116"/>
      <c r="F159" s="116"/>
      <c r="G159" s="116"/>
      <c r="H159" s="114"/>
      <c r="I159" s="114"/>
      <c r="J159" s="114"/>
      <c r="K159" s="115"/>
      <c r="L159" s="117"/>
      <c r="M159" s="114"/>
      <c r="N159" s="119"/>
      <c r="O159" s="119"/>
      <c r="P159" s="119"/>
    </row>
    <row r="160" spans="3:16" s="113" customFormat="1" ht="20.100000000000001" customHeight="1">
      <c r="C160" s="114"/>
      <c r="E160" s="116"/>
      <c r="F160" s="116"/>
      <c r="G160" s="116"/>
      <c r="H160" s="114"/>
      <c r="I160" s="114"/>
      <c r="J160" s="114"/>
      <c r="K160" s="115"/>
      <c r="L160" s="117"/>
      <c r="M160" s="114"/>
      <c r="N160" s="119"/>
      <c r="O160" s="119"/>
      <c r="P160" s="119"/>
    </row>
    <row r="161" spans="3:16" s="113" customFormat="1" ht="20.100000000000001" customHeight="1">
      <c r="C161" s="114"/>
      <c r="E161" s="116"/>
      <c r="F161" s="116"/>
      <c r="G161" s="116"/>
      <c r="H161" s="114"/>
      <c r="I161" s="114"/>
      <c r="J161" s="114"/>
      <c r="K161" s="115"/>
      <c r="L161" s="117"/>
      <c r="M161" s="114"/>
      <c r="N161" s="119"/>
      <c r="O161" s="119"/>
      <c r="P161" s="119"/>
    </row>
    <row r="162" spans="3:16" s="113" customFormat="1" ht="20.100000000000001" customHeight="1">
      <c r="C162" s="114"/>
      <c r="E162" s="116"/>
      <c r="F162" s="116"/>
      <c r="G162" s="116"/>
      <c r="H162" s="114"/>
      <c r="I162" s="114"/>
      <c r="J162" s="114"/>
      <c r="K162" s="115"/>
      <c r="L162" s="117"/>
      <c r="M162" s="114"/>
      <c r="N162" s="119"/>
      <c r="O162" s="119"/>
      <c r="P162" s="119"/>
    </row>
    <row r="163" spans="3:16" s="113" customFormat="1" ht="20.100000000000001" customHeight="1">
      <c r="C163" s="114"/>
      <c r="E163" s="116"/>
      <c r="F163" s="116"/>
      <c r="G163" s="116"/>
      <c r="H163" s="114"/>
      <c r="I163" s="114"/>
      <c r="J163" s="114"/>
      <c r="K163" s="115"/>
      <c r="L163" s="117"/>
      <c r="M163" s="114"/>
      <c r="N163" s="119"/>
      <c r="O163" s="119"/>
      <c r="P163" s="119"/>
    </row>
    <row r="164" spans="3:16" s="113" customFormat="1" ht="20.100000000000001" customHeight="1">
      <c r="C164" s="114"/>
      <c r="E164" s="116"/>
      <c r="F164" s="116"/>
      <c r="G164" s="116"/>
      <c r="H164" s="114"/>
      <c r="I164" s="114"/>
      <c r="J164" s="114"/>
      <c r="K164" s="115"/>
      <c r="L164" s="117"/>
      <c r="M164" s="114"/>
      <c r="N164" s="119"/>
      <c r="O164" s="119"/>
      <c r="P164" s="119"/>
    </row>
    <row r="165" spans="3:16" s="113" customFormat="1" ht="20.100000000000001" customHeight="1">
      <c r="C165" s="114"/>
      <c r="E165" s="116"/>
      <c r="F165" s="116"/>
      <c r="G165" s="116"/>
      <c r="H165" s="114"/>
      <c r="I165" s="114"/>
      <c r="J165" s="114"/>
      <c r="K165" s="115"/>
      <c r="L165" s="117"/>
      <c r="M165" s="114"/>
      <c r="N165" s="119"/>
      <c r="O165" s="119"/>
      <c r="P165" s="119"/>
    </row>
    <row r="166" spans="3:16" s="113" customFormat="1" ht="20.100000000000001" customHeight="1">
      <c r="C166" s="114"/>
      <c r="E166" s="116"/>
      <c r="F166" s="116"/>
      <c r="G166" s="116"/>
      <c r="H166" s="114"/>
      <c r="I166" s="114"/>
      <c r="J166" s="114"/>
      <c r="K166" s="115"/>
      <c r="L166" s="117"/>
      <c r="M166" s="114"/>
      <c r="N166" s="119"/>
      <c r="O166" s="119"/>
      <c r="P166" s="119"/>
    </row>
    <row r="167" spans="3:16" s="113" customFormat="1" ht="20.100000000000001" customHeight="1">
      <c r="C167" s="114"/>
      <c r="E167" s="116"/>
      <c r="F167" s="116"/>
      <c r="G167" s="116"/>
      <c r="H167" s="114"/>
      <c r="I167" s="114"/>
      <c r="J167" s="114"/>
      <c r="K167" s="115"/>
      <c r="L167" s="117"/>
      <c r="M167" s="114"/>
      <c r="N167" s="119"/>
      <c r="O167" s="119"/>
      <c r="P167" s="119"/>
    </row>
    <row r="168" spans="3:16" s="113" customFormat="1" ht="20.100000000000001" customHeight="1">
      <c r="C168" s="114"/>
      <c r="E168" s="116"/>
      <c r="F168" s="116"/>
      <c r="G168" s="116"/>
      <c r="H168" s="114"/>
      <c r="I168" s="114"/>
      <c r="J168" s="114"/>
      <c r="K168" s="115"/>
      <c r="L168" s="117"/>
      <c r="M168" s="114"/>
      <c r="N168" s="119"/>
      <c r="O168" s="119"/>
      <c r="P168" s="119"/>
    </row>
    <row r="169" spans="3:16" s="113" customFormat="1" ht="20.100000000000001" customHeight="1">
      <c r="C169" s="114"/>
      <c r="E169" s="116"/>
      <c r="F169" s="116"/>
      <c r="G169" s="116"/>
      <c r="H169" s="114"/>
      <c r="I169" s="114"/>
      <c r="J169" s="114"/>
      <c r="K169" s="115"/>
      <c r="L169" s="117"/>
      <c r="M169" s="114"/>
      <c r="N169" s="119"/>
      <c r="O169" s="119"/>
      <c r="P169" s="119"/>
    </row>
    <row r="170" spans="3:16" s="113" customFormat="1" ht="20.100000000000001" customHeight="1">
      <c r="C170" s="114"/>
      <c r="E170" s="116"/>
      <c r="F170" s="116"/>
      <c r="G170" s="116"/>
      <c r="H170" s="114"/>
      <c r="I170" s="114"/>
      <c r="J170" s="114"/>
      <c r="K170" s="115"/>
      <c r="L170" s="117"/>
      <c r="M170" s="114"/>
      <c r="N170" s="119"/>
      <c r="O170" s="119"/>
      <c r="P170" s="119"/>
    </row>
    <row r="171" spans="3:16" s="113" customFormat="1" ht="20.100000000000001" customHeight="1">
      <c r="C171" s="114"/>
      <c r="E171" s="116"/>
      <c r="F171" s="116"/>
      <c r="G171" s="116"/>
      <c r="H171" s="114"/>
      <c r="I171" s="114"/>
      <c r="J171" s="114"/>
      <c r="K171" s="115"/>
      <c r="L171" s="117"/>
      <c r="M171" s="114"/>
      <c r="N171" s="119"/>
      <c r="O171" s="119"/>
      <c r="P171" s="119"/>
    </row>
    <row r="172" spans="3:16" s="113" customFormat="1" ht="20.100000000000001" customHeight="1">
      <c r="C172" s="114"/>
      <c r="E172" s="116"/>
      <c r="F172" s="116"/>
      <c r="G172" s="116"/>
      <c r="H172" s="114"/>
      <c r="I172" s="114"/>
      <c r="J172" s="114"/>
      <c r="K172" s="115"/>
      <c r="L172" s="117"/>
      <c r="M172" s="114"/>
      <c r="N172" s="119"/>
      <c r="O172" s="119"/>
      <c r="P172" s="119"/>
    </row>
    <row r="173" spans="3:16" s="113" customFormat="1" ht="20.100000000000001" customHeight="1">
      <c r="C173" s="114"/>
      <c r="E173" s="116"/>
      <c r="F173" s="116"/>
      <c r="G173" s="116"/>
      <c r="H173" s="114"/>
      <c r="I173" s="114"/>
      <c r="J173" s="114"/>
      <c r="K173" s="115"/>
      <c r="L173" s="117"/>
      <c r="M173" s="114"/>
      <c r="N173" s="119"/>
      <c r="O173" s="119"/>
      <c r="P173" s="119"/>
    </row>
    <row r="174" spans="3:16" s="113" customFormat="1" ht="20.100000000000001" customHeight="1">
      <c r="C174" s="114"/>
      <c r="E174" s="116"/>
      <c r="F174" s="116"/>
      <c r="G174" s="116"/>
      <c r="H174" s="114"/>
      <c r="I174" s="114"/>
      <c r="J174" s="114"/>
      <c r="K174" s="115"/>
      <c r="L174" s="117"/>
      <c r="M174" s="114"/>
      <c r="N174" s="119"/>
      <c r="O174" s="119"/>
      <c r="P174" s="119"/>
    </row>
    <row r="175" spans="3:16" s="113" customFormat="1" ht="20.100000000000001" customHeight="1">
      <c r="C175" s="114"/>
      <c r="E175" s="116"/>
      <c r="F175" s="116"/>
      <c r="G175" s="116"/>
      <c r="H175" s="114"/>
      <c r="I175" s="114"/>
      <c r="J175" s="114"/>
      <c r="K175" s="115"/>
      <c r="L175" s="117"/>
      <c r="M175" s="114"/>
      <c r="N175" s="119"/>
      <c r="O175" s="119"/>
      <c r="P175" s="119"/>
    </row>
    <row r="176" spans="3:16" s="113" customFormat="1" ht="20.100000000000001" customHeight="1">
      <c r="C176" s="114"/>
      <c r="E176" s="116"/>
      <c r="F176" s="116"/>
      <c r="G176" s="116"/>
      <c r="H176" s="114"/>
      <c r="I176" s="114"/>
      <c r="J176" s="114"/>
      <c r="K176" s="115"/>
      <c r="L176" s="117"/>
      <c r="M176" s="114"/>
      <c r="N176" s="119"/>
      <c r="O176" s="119"/>
      <c r="P176" s="119"/>
    </row>
    <row r="177" spans="3:16" s="113" customFormat="1" ht="20.100000000000001" customHeight="1">
      <c r="C177" s="114"/>
      <c r="E177" s="116"/>
      <c r="F177" s="116"/>
      <c r="G177" s="116"/>
      <c r="H177" s="114"/>
      <c r="I177" s="114"/>
      <c r="J177" s="114"/>
      <c r="K177" s="115"/>
      <c r="L177" s="117"/>
      <c r="M177" s="114"/>
      <c r="N177" s="119"/>
      <c r="O177" s="119"/>
      <c r="P177" s="119"/>
    </row>
    <row r="178" spans="3:16" s="113" customFormat="1" ht="20.100000000000001" customHeight="1">
      <c r="C178" s="114"/>
      <c r="E178" s="116"/>
      <c r="F178" s="116"/>
      <c r="G178" s="116"/>
      <c r="H178" s="114"/>
      <c r="I178" s="114"/>
      <c r="J178" s="114"/>
      <c r="K178" s="115"/>
      <c r="L178" s="117"/>
      <c r="M178" s="114"/>
      <c r="N178" s="119"/>
      <c r="O178" s="119"/>
      <c r="P178" s="119"/>
    </row>
    <row r="179" spans="3:16" s="113" customFormat="1" ht="20.100000000000001" customHeight="1">
      <c r="C179" s="114"/>
      <c r="E179" s="116"/>
      <c r="F179" s="116"/>
      <c r="G179" s="116"/>
      <c r="H179" s="114"/>
      <c r="I179" s="114"/>
      <c r="J179" s="114"/>
      <c r="K179" s="115"/>
      <c r="L179" s="117"/>
      <c r="M179" s="114"/>
      <c r="N179" s="119"/>
      <c r="O179" s="119"/>
      <c r="P179" s="119"/>
    </row>
    <row r="180" spans="3:16" s="113" customFormat="1" ht="20.100000000000001" customHeight="1">
      <c r="C180" s="114"/>
      <c r="E180" s="116"/>
      <c r="F180" s="116"/>
      <c r="G180" s="116"/>
      <c r="H180" s="114"/>
      <c r="I180" s="114"/>
      <c r="J180" s="114"/>
      <c r="K180" s="115"/>
      <c r="L180" s="117"/>
      <c r="M180" s="114"/>
      <c r="N180" s="119"/>
      <c r="O180" s="119"/>
      <c r="P180" s="119"/>
    </row>
    <row r="181" spans="3:16" s="113" customFormat="1" ht="20.100000000000001" customHeight="1">
      <c r="C181" s="114"/>
      <c r="E181" s="116"/>
      <c r="F181" s="116"/>
      <c r="G181" s="116"/>
      <c r="H181" s="114"/>
      <c r="I181" s="114"/>
      <c r="J181" s="114"/>
      <c r="K181" s="115"/>
      <c r="L181" s="117"/>
      <c r="M181" s="114"/>
      <c r="N181" s="119"/>
      <c r="O181" s="119"/>
      <c r="P181" s="119"/>
    </row>
    <row r="182" spans="3:16" s="113" customFormat="1" ht="20.100000000000001" customHeight="1">
      <c r="C182" s="114"/>
      <c r="E182" s="116"/>
      <c r="F182" s="116"/>
      <c r="G182" s="116"/>
      <c r="H182" s="114"/>
      <c r="I182" s="114"/>
      <c r="J182" s="114"/>
      <c r="K182" s="115"/>
      <c r="L182" s="117"/>
      <c r="M182" s="114"/>
      <c r="N182" s="119"/>
      <c r="O182" s="119"/>
      <c r="P182" s="119"/>
    </row>
    <row r="183" spans="3:16" s="113" customFormat="1" ht="20.100000000000001" customHeight="1">
      <c r="C183" s="114"/>
      <c r="E183" s="116"/>
      <c r="F183" s="116"/>
      <c r="G183" s="116"/>
      <c r="H183" s="114"/>
      <c r="I183" s="114"/>
      <c r="J183" s="114"/>
      <c r="K183" s="115"/>
      <c r="L183" s="117"/>
      <c r="M183" s="114"/>
      <c r="N183" s="119"/>
      <c r="O183" s="119"/>
      <c r="P183" s="119"/>
    </row>
    <row r="184" spans="3:16" s="113" customFormat="1" ht="20.100000000000001" customHeight="1">
      <c r="C184" s="114"/>
      <c r="E184" s="116"/>
      <c r="F184" s="116"/>
      <c r="G184" s="116"/>
      <c r="H184" s="114"/>
      <c r="I184" s="114"/>
      <c r="J184" s="114"/>
      <c r="K184" s="115"/>
      <c r="L184" s="117"/>
      <c r="M184" s="114"/>
      <c r="N184" s="119"/>
      <c r="O184" s="119"/>
      <c r="P184" s="119"/>
    </row>
    <row r="185" spans="3:16" s="113" customFormat="1" ht="20.100000000000001" customHeight="1">
      <c r="C185" s="114"/>
      <c r="E185" s="116"/>
      <c r="F185" s="116"/>
      <c r="G185" s="116"/>
      <c r="H185" s="114"/>
      <c r="I185" s="114"/>
      <c r="J185" s="114"/>
      <c r="K185" s="115"/>
      <c r="L185" s="117"/>
      <c r="M185" s="114"/>
      <c r="N185" s="119"/>
      <c r="O185" s="119"/>
      <c r="P185" s="119"/>
    </row>
    <row r="186" spans="3:16" s="113" customFormat="1" ht="20.100000000000001" customHeight="1">
      <c r="C186" s="114"/>
      <c r="E186" s="116"/>
      <c r="F186" s="116"/>
      <c r="G186" s="116"/>
      <c r="H186" s="114"/>
      <c r="I186" s="114"/>
      <c r="J186" s="114"/>
      <c r="K186" s="115"/>
      <c r="L186" s="117"/>
      <c r="M186" s="114"/>
      <c r="N186" s="119"/>
      <c r="O186" s="119"/>
      <c r="P186" s="119"/>
    </row>
    <row r="187" spans="3:16" s="113" customFormat="1" ht="20.100000000000001" customHeight="1">
      <c r="C187" s="114"/>
      <c r="E187" s="116"/>
      <c r="F187" s="116"/>
      <c r="G187" s="116"/>
      <c r="H187" s="114"/>
      <c r="I187" s="114"/>
      <c r="J187" s="114"/>
      <c r="K187" s="115"/>
      <c r="L187" s="117"/>
      <c r="M187" s="114"/>
      <c r="N187" s="119"/>
      <c r="O187" s="119"/>
      <c r="P187" s="119"/>
    </row>
    <row r="188" spans="3:16" s="113" customFormat="1" ht="20.100000000000001" customHeight="1">
      <c r="C188" s="114"/>
      <c r="E188" s="116"/>
      <c r="F188" s="116"/>
      <c r="G188" s="116"/>
      <c r="H188" s="114"/>
      <c r="I188" s="114"/>
      <c r="J188" s="114"/>
      <c r="K188" s="115"/>
      <c r="L188" s="117"/>
      <c r="M188" s="114"/>
      <c r="N188" s="119"/>
      <c r="O188" s="119"/>
      <c r="P188" s="119"/>
    </row>
    <row r="189" spans="3:16" s="113" customFormat="1" ht="20.100000000000001" customHeight="1">
      <c r="C189" s="114"/>
      <c r="E189" s="116"/>
      <c r="F189" s="116"/>
      <c r="G189" s="116"/>
      <c r="H189" s="114"/>
      <c r="I189" s="114"/>
      <c r="J189" s="114"/>
      <c r="K189" s="115"/>
      <c r="L189" s="117"/>
      <c r="M189" s="114"/>
      <c r="N189" s="119"/>
      <c r="O189" s="119"/>
      <c r="P189" s="119"/>
    </row>
    <row r="190" spans="3:16" s="113" customFormat="1" ht="20.100000000000001" customHeight="1">
      <c r="C190" s="114"/>
      <c r="E190" s="116"/>
      <c r="F190" s="116"/>
      <c r="G190" s="116"/>
      <c r="H190" s="114"/>
      <c r="I190" s="114"/>
      <c r="J190" s="114"/>
      <c r="K190" s="115"/>
      <c r="L190" s="117"/>
      <c r="M190" s="114"/>
      <c r="N190" s="119"/>
      <c r="O190" s="119"/>
      <c r="P190" s="119"/>
    </row>
    <row r="191" spans="3:16" s="113" customFormat="1" ht="20.100000000000001" customHeight="1">
      <c r="C191" s="114"/>
      <c r="E191" s="116"/>
      <c r="F191" s="116"/>
      <c r="G191" s="116"/>
      <c r="H191" s="114"/>
      <c r="I191" s="114"/>
      <c r="J191" s="114"/>
      <c r="K191" s="115"/>
      <c r="L191" s="117"/>
      <c r="M191" s="114"/>
      <c r="N191" s="119"/>
      <c r="O191" s="119"/>
      <c r="P191" s="119"/>
    </row>
    <row r="192" spans="3:16" s="113" customFormat="1" ht="20.100000000000001" customHeight="1">
      <c r="C192" s="114"/>
      <c r="E192" s="116"/>
      <c r="F192" s="116"/>
      <c r="G192" s="116"/>
      <c r="H192" s="114"/>
      <c r="I192" s="114"/>
      <c r="J192" s="114"/>
      <c r="K192" s="115"/>
      <c r="L192" s="117"/>
      <c r="M192" s="114"/>
      <c r="N192" s="119"/>
      <c r="O192" s="119"/>
      <c r="P192" s="119"/>
    </row>
    <row r="193" spans="3:16" s="113" customFormat="1" ht="20.100000000000001" customHeight="1">
      <c r="C193" s="114"/>
      <c r="E193" s="116"/>
      <c r="F193" s="116"/>
      <c r="G193" s="116"/>
      <c r="H193" s="114"/>
      <c r="I193" s="114"/>
      <c r="J193" s="114"/>
      <c r="K193" s="115"/>
      <c r="L193" s="117"/>
      <c r="M193" s="114"/>
      <c r="N193" s="119"/>
      <c r="O193" s="119"/>
      <c r="P193" s="119"/>
    </row>
    <row r="194" spans="3:16" s="113" customFormat="1" ht="20.100000000000001" customHeight="1">
      <c r="C194" s="114"/>
      <c r="E194" s="116"/>
      <c r="F194" s="116"/>
      <c r="G194" s="116"/>
      <c r="H194" s="114"/>
      <c r="I194" s="114"/>
      <c r="J194" s="114"/>
      <c r="K194" s="115"/>
      <c r="L194" s="117"/>
      <c r="M194" s="114"/>
      <c r="N194" s="119"/>
      <c r="O194" s="119"/>
      <c r="P194" s="119"/>
    </row>
    <row r="195" spans="3:16" s="113" customFormat="1" ht="20.100000000000001" customHeight="1">
      <c r="C195" s="114"/>
      <c r="E195" s="116"/>
      <c r="F195" s="116"/>
      <c r="G195" s="116"/>
      <c r="H195" s="114"/>
      <c r="I195" s="114"/>
      <c r="J195" s="114"/>
      <c r="K195" s="115"/>
      <c r="L195" s="117"/>
      <c r="M195" s="114"/>
      <c r="N195" s="119"/>
      <c r="O195" s="119"/>
      <c r="P195" s="119"/>
    </row>
    <row r="196" spans="3:16" s="113" customFormat="1" ht="20.100000000000001" customHeight="1">
      <c r="C196" s="114"/>
      <c r="E196" s="116"/>
      <c r="F196" s="116"/>
      <c r="G196" s="116"/>
      <c r="H196" s="114"/>
      <c r="I196" s="114"/>
      <c r="J196" s="114"/>
      <c r="K196" s="115"/>
      <c r="L196" s="117"/>
      <c r="M196" s="114"/>
      <c r="N196" s="119"/>
      <c r="O196" s="119"/>
      <c r="P196" s="119"/>
    </row>
    <row r="197" spans="3:16" s="113" customFormat="1" ht="20.100000000000001" customHeight="1">
      <c r="C197" s="114"/>
      <c r="E197" s="116"/>
      <c r="F197" s="116"/>
      <c r="G197" s="116"/>
      <c r="H197" s="114"/>
      <c r="I197" s="114"/>
      <c r="J197" s="114"/>
      <c r="K197" s="115"/>
      <c r="L197" s="117"/>
      <c r="M197" s="114"/>
      <c r="N197" s="119"/>
      <c r="O197" s="119"/>
      <c r="P197" s="119"/>
    </row>
    <row r="198" spans="3:16" s="113" customFormat="1" ht="20.100000000000001" customHeight="1">
      <c r="C198" s="114"/>
      <c r="E198" s="116"/>
      <c r="F198" s="116"/>
      <c r="G198" s="116"/>
      <c r="H198" s="114"/>
      <c r="I198" s="114"/>
      <c r="J198" s="114"/>
      <c r="K198" s="115"/>
      <c r="L198" s="117"/>
      <c r="M198" s="114"/>
      <c r="N198" s="119"/>
      <c r="O198" s="119"/>
      <c r="P198" s="119"/>
    </row>
    <row r="199" spans="3:16" s="113" customFormat="1" ht="20.100000000000001" customHeight="1">
      <c r="C199" s="114"/>
      <c r="E199" s="116"/>
      <c r="F199" s="116"/>
      <c r="G199" s="116"/>
      <c r="H199" s="114"/>
      <c r="I199" s="114"/>
      <c r="J199" s="114"/>
      <c r="K199" s="115"/>
      <c r="L199" s="117"/>
      <c r="M199" s="114"/>
      <c r="N199" s="119"/>
      <c r="O199" s="119"/>
      <c r="P199" s="119"/>
    </row>
    <row r="200" spans="3:16" s="113" customFormat="1" ht="20.100000000000001" customHeight="1">
      <c r="C200" s="114"/>
      <c r="E200" s="116"/>
      <c r="F200" s="116"/>
      <c r="G200" s="116"/>
      <c r="H200" s="114"/>
      <c r="I200" s="114"/>
      <c r="J200" s="114"/>
      <c r="K200" s="115"/>
      <c r="L200" s="117"/>
      <c r="M200" s="114"/>
      <c r="N200" s="119"/>
      <c r="O200" s="119"/>
      <c r="P200" s="119"/>
    </row>
    <row r="201" spans="3:16" s="113" customFormat="1" ht="20.100000000000001" customHeight="1">
      <c r="C201" s="114"/>
      <c r="E201" s="116"/>
      <c r="F201" s="116"/>
      <c r="G201" s="116"/>
      <c r="H201" s="114"/>
      <c r="I201" s="114"/>
      <c r="J201" s="114"/>
      <c r="K201" s="115"/>
      <c r="L201" s="117"/>
      <c r="M201" s="114"/>
      <c r="N201" s="119"/>
      <c r="O201" s="119"/>
      <c r="P201" s="119"/>
    </row>
    <row r="202" spans="3:16" s="113" customFormat="1" ht="20.100000000000001" customHeight="1">
      <c r="C202" s="114"/>
      <c r="E202" s="116"/>
      <c r="F202" s="116"/>
      <c r="G202" s="116"/>
      <c r="H202" s="114"/>
      <c r="I202" s="114"/>
      <c r="J202" s="114"/>
      <c r="K202" s="115"/>
      <c r="L202" s="117"/>
      <c r="M202" s="114"/>
      <c r="N202" s="119"/>
      <c r="O202" s="119"/>
      <c r="P202" s="119"/>
    </row>
    <row r="203" spans="3:16" s="113" customFormat="1" ht="20.100000000000001" customHeight="1">
      <c r="C203" s="114"/>
      <c r="E203" s="116"/>
      <c r="F203" s="116"/>
      <c r="G203" s="116"/>
      <c r="H203" s="114"/>
      <c r="I203" s="114"/>
      <c r="J203" s="114"/>
      <c r="K203" s="115"/>
      <c r="L203" s="117"/>
      <c r="M203" s="114"/>
      <c r="N203" s="119"/>
      <c r="O203" s="119"/>
      <c r="P203" s="119"/>
    </row>
    <row r="204" spans="3:16" s="113" customFormat="1" ht="20.100000000000001" customHeight="1">
      <c r="C204" s="114"/>
      <c r="E204" s="116"/>
      <c r="F204" s="116"/>
      <c r="G204" s="116"/>
      <c r="H204" s="114"/>
      <c r="I204" s="114"/>
      <c r="J204" s="114"/>
      <c r="K204" s="115"/>
      <c r="L204" s="117"/>
      <c r="M204" s="114"/>
      <c r="N204" s="119"/>
      <c r="O204" s="119"/>
      <c r="P204" s="119"/>
    </row>
    <row r="205" spans="3:16" s="113" customFormat="1" ht="20.100000000000001" customHeight="1">
      <c r="C205" s="114"/>
      <c r="E205" s="116"/>
      <c r="F205" s="116"/>
      <c r="G205" s="116"/>
      <c r="H205" s="114"/>
      <c r="I205" s="114"/>
      <c r="J205" s="114"/>
      <c r="K205" s="115"/>
      <c r="L205" s="117"/>
      <c r="M205" s="114"/>
      <c r="N205" s="119"/>
      <c r="O205" s="119"/>
      <c r="P205" s="119"/>
    </row>
    <row r="206" spans="3:16" s="113" customFormat="1" ht="20.100000000000001" customHeight="1">
      <c r="C206" s="114"/>
      <c r="E206" s="116"/>
      <c r="F206" s="116"/>
      <c r="G206" s="116"/>
      <c r="H206" s="114"/>
      <c r="I206" s="114"/>
      <c r="J206" s="114"/>
      <c r="K206" s="115"/>
      <c r="L206" s="117"/>
      <c r="M206" s="114"/>
      <c r="N206" s="119"/>
      <c r="O206" s="119"/>
      <c r="P206" s="119"/>
    </row>
    <row r="207" spans="3:16" s="113" customFormat="1" ht="20.100000000000001" customHeight="1">
      <c r="C207" s="114"/>
      <c r="E207" s="116"/>
      <c r="F207" s="116"/>
      <c r="G207" s="116"/>
      <c r="H207" s="114"/>
      <c r="I207" s="114"/>
      <c r="J207" s="114"/>
      <c r="K207" s="115"/>
      <c r="L207" s="117"/>
      <c r="M207" s="114"/>
      <c r="N207" s="119"/>
      <c r="O207" s="119"/>
      <c r="P207" s="119"/>
    </row>
    <row r="208" spans="3:16" s="113" customFormat="1" ht="20.100000000000001" customHeight="1">
      <c r="C208" s="114"/>
      <c r="E208" s="116"/>
      <c r="F208" s="116"/>
      <c r="G208" s="116"/>
      <c r="H208" s="114"/>
      <c r="I208" s="114"/>
      <c r="J208" s="114"/>
      <c r="K208" s="115"/>
      <c r="L208" s="117"/>
      <c r="M208" s="114"/>
      <c r="N208" s="119"/>
      <c r="O208" s="119"/>
      <c r="P208" s="119"/>
    </row>
    <row r="209" spans="3:16" s="113" customFormat="1" ht="20.100000000000001" customHeight="1">
      <c r="C209" s="114"/>
      <c r="E209" s="116"/>
      <c r="F209" s="116"/>
      <c r="G209" s="116"/>
      <c r="H209" s="114"/>
      <c r="I209" s="114"/>
      <c r="J209" s="114"/>
      <c r="K209" s="115"/>
      <c r="L209" s="117"/>
      <c r="M209" s="114"/>
      <c r="N209" s="119"/>
      <c r="O209" s="119"/>
      <c r="P209" s="119"/>
    </row>
    <row r="210" spans="3:16" s="113" customFormat="1" ht="20.100000000000001" customHeight="1">
      <c r="C210" s="114"/>
      <c r="E210" s="116"/>
      <c r="F210" s="116"/>
      <c r="G210" s="116"/>
      <c r="H210" s="114"/>
      <c r="I210" s="114"/>
      <c r="J210" s="114"/>
      <c r="K210" s="115"/>
      <c r="L210" s="117"/>
      <c r="M210" s="114"/>
      <c r="N210" s="119"/>
      <c r="O210" s="119"/>
      <c r="P210" s="119"/>
    </row>
    <row r="211" spans="3:16" s="113" customFormat="1" ht="20.100000000000001" customHeight="1">
      <c r="C211" s="114"/>
      <c r="E211" s="116"/>
      <c r="F211" s="116"/>
      <c r="G211" s="116"/>
      <c r="H211" s="114"/>
      <c r="I211" s="114"/>
      <c r="J211" s="114"/>
      <c r="K211" s="115"/>
      <c r="L211" s="117"/>
      <c r="M211" s="114"/>
      <c r="N211" s="119"/>
      <c r="O211" s="119"/>
      <c r="P211" s="119"/>
    </row>
    <row r="212" spans="3:16" s="113" customFormat="1" ht="20.100000000000001" customHeight="1">
      <c r="C212" s="114"/>
      <c r="E212" s="116"/>
      <c r="F212" s="116"/>
      <c r="G212" s="116"/>
      <c r="H212" s="114"/>
      <c r="I212" s="114"/>
      <c r="J212" s="114"/>
      <c r="K212" s="115"/>
      <c r="L212" s="117"/>
      <c r="M212" s="114"/>
      <c r="N212" s="119"/>
      <c r="O212" s="119"/>
      <c r="P212" s="119"/>
    </row>
    <row r="213" spans="3:16" s="113" customFormat="1" ht="20.100000000000001" customHeight="1">
      <c r="C213" s="114"/>
      <c r="E213" s="116"/>
      <c r="F213" s="116"/>
      <c r="G213" s="116"/>
      <c r="H213" s="114"/>
      <c r="I213" s="114"/>
      <c r="J213" s="114"/>
      <c r="K213" s="115"/>
      <c r="L213" s="117"/>
      <c r="M213" s="114"/>
      <c r="N213" s="119"/>
      <c r="O213" s="119"/>
      <c r="P213" s="119"/>
    </row>
    <row r="214" spans="3:16" s="113" customFormat="1" ht="20.100000000000001" customHeight="1">
      <c r="C214" s="114"/>
      <c r="E214" s="116"/>
      <c r="F214" s="116"/>
      <c r="G214" s="116"/>
      <c r="H214" s="114"/>
      <c r="I214" s="114"/>
      <c r="J214" s="114"/>
      <c r="K214" s="115"/>
      <c r="L214" s="117"/>
      <c r="M214" s="114"/>
      <c r="N214" s="119"/>
      <c r="O214" s="119"/>
      <c r="P214" s="119"/>
    </row>
    <row r="215" spans="3:16" s="113" customFormat="1" ht="20.100000000000001" customHeight="1">
      <c r="C215" s="114"/>
      <c r="E215" s="116"/>
      <c r="F215" s="116"/>
      <c r="G215" s="116"/>
      <c r="H215" s="114"/>
      <c r="I215" s="114"/>
      <c r="J215" s="114"/>
      <c r="K215" s="115"/>
      <c r="L215" s="117"/>
      <c r="M215" s="114"/>
      <c r="N215" s="119"/>
      <c r="O215" s="119"/>
      <c r="P215" s="119"/>
    </row>
    <row r="216" spans="3:16" s="113" customFormat="1" ht="20.100000000000001" customHeight="1">
      <c r="C216" s="114"/>
      <c r="E216" s="116"/>
      <c r="F216" s="116"/>
      <c r="G216" s="116"/>
      <c r="H216" s="114"/>
      <c r="I216" s="114"/>
      <c r="J216" s="114"/>
      <c r="K216" s="115"/>
      <c r="L216" s="117"/>
      <c r="M216" s="114"/>
      <c r="N216" s="119"/>
      <c r="O216" s="119"/>
      <c r="P216" s="119"/>
    </row>
    <row r="217" spans="3:16" s="113" customFormat="1" ht="20.100000000000001" customHeight="1">
      <c r="C217" s="114"/>
      <c r="E217" s="116"/>
      <c r="F217" s="116"/>
      <c r="G217" s="116"/>
      <c r="H217" s="114"/>
      <c r="I217" s="114"/>
      <c r="J217" s="114"/>
      <c r="K217" s="115"/>
      <c r="L217" s="117"/>
      <c r="M217" s="114"/>
      <c r="N217" s="119"/>
      <c r="O217" s="119"/>
      <c r="P217" s="119"/>
    </row>
    <row r="218" spans="3:16" s="113" customFormat="1" ht="20.100000000000001" customHeight="1">
      <c r="C218" s="114"/>
      <c r="E218" s="116"/>
      <c r="F218" s="116"/>
      <c r="G218" s="116"/>
      <c r="H218" s="114"/>
      <c r="I218" s="114"/>
      <c r="J218" s="114"/>
      <c r="K218" s="115"/>
      <c r="L218" s="117"/>
      <c r="M218" s="114"/>
      <c r="N218" s="119"/>
      <c r="O218" s="119"/>
      <c r="P218" s="119"/>
    </row>
    <row r="219" spans="3:16" s="113" customFormat="1" ht="20.100000000000001" customHeight="1">
      <c r="C219" s="114"/>
      <c r="E219" s="116"/>
      <c r="F219" s="116"/>
      <c r="G219" s="116"/>
      <c r="H219" s="114"/>
      <c r="I219" s="114"/>
      <c r="J219" s="114"/>
      <c r="K219" s="115"/>
      <c r="L219" s="117"/>
      <c r="M219" s="114"/>
      <c r="N219" s="119"/>
      <c r="O219" s="119"/>
      <c r="P219" s="119"/>
    </row>
    <row r="220" spans="3:16" s="113" customFormat="1" ht="20.100000000000001" customHeight="1">
      <c r="C220" s="114"/>
      <c r="E220" s="116"/>
      <c r="F220" s="116"/>
      <c r="G220" s="116"/>
      <c r="H220" s="114"/>
      <c r="I220" s="114"/>
      <c r="J220" s="114"/>
      <c r="K220" s="115"/>
      <c r="L220" s="117"/>
      <c r="M220" s="114"/>
      <c r="N220" s="119"/>
      <c r="O220" s="119"/>
      <c r="P220" s="119"/>
    </row>
    <row r="221" spans="3:16" s="113" customFormat="1" ht="20.100000000000001" customHeight="1">
      <c r="C221" s="114"/>
      <c r="E221" s="116"/>
      <c r="F221" s="116"/>
      <c r="G221" s="116"/>
      <c r="H221" s="114"/>
      <c r="I221" s="114"/>
      <c r="J221" s="114"/>
      <c r="K221" s="115"/>
      <c r="L221" s="117"/>
      <c r="M221" s="114"/>
      <c r="N221" s="119"/>
      <c r="O221" s="119"/>
      <c r="P221" s="119"/>
    </row>
    <row r="222" spans="3:16" s="113" customFormat="1" ht="20.100000000000001" customHeight="1">
      <c r="C222" s="114"/>
      <c r="E222" s="116"/>
      <c r="F222" s="116"/>
      <c r="G222" s="116"/>
      <c r="H222" s="114"/>
      <c r="I222" s="114"/>
      <c r="J222" s="114"/>
      <c r="K222" s="115"/>
      <c r="L222" s="117"/>
      <c r="M222" s="114"/>
      <c r="N222" s="119"/>
      <c r="O222" s="119"/>
      <c r="P222" s="119"/>
    </row>
    <row r="223" spans="3:16" s="113" customFormat="1" ht="20.100000000000001" customHeight="1">
      <c r="C223" s="114"/>
      <c r="E223" s="116"/>
      <c r="F223" s="116"/>
      <c r="G223" s="116"/>
      <c r="H223" s="114"/>
      <c r="I223" s="114"/>
      <c r="J223" s="114"/>
      <c r="K223" s="115"/>
      <c r="L223" s="117"/>
      <c r="M223" s="114"/>
      <c r="N223" s="119"/>
      <c r="O223" s="119"/>
      <c r="P223" s="119"/>
    </row>
    <row r="224" spans="3:16" s="113" customFormat="1" ht="20.100000000000001" customHeight="1">
      <c r="C224" s="114"/>
      <c r="E224" s="116"/>
      <c r="F224" s="116"/>
      <c r="G224" s="116"/>
      <c r="H224" s="114"/>
      <c r="I224" s="114"/>
      <c r="J224" s="114"/>
      <c r="K224" s="115"/>
      <c r="L224" s="117"/>
      <c r="M224" s="114"/>
      <c r="N224" s="119"/>
      <c r="O224" s="119"/>
      <c r="P224" s="119"/>
    </row>
    <row r="225" spans="3:16" s="113" customFormat="1" ht="20.100000000000001" customHeight="1">
      <c r="C225" s="114"/>
      <c r="E225" s="116"/>
      <c r="F225" s="116"/>
      <c r="G225" s="116"/>
      <c r="H225" s="114"/>
      <c r="I225" s="114"/>
      <c r="J225" s="114"/>
      <c r="K225" s="115"/>
      <c r="L225" s="117"/>
      <c r="M225" s="114"/>
      <c r="N225" s="119"/>
      <c r="O225" s="119"/>
      <c r="P225" s="119"/>
    </row>
    <row r="226" spans="3:16" s="113" customFormat="1" ht="20.100000000000001" customHeight="1">
      <c r="C226" s="114"/>
      <c r="E226" s="116"/>
      <c r="F226" s="116"/>
      <c r="G226" s="116"/>
      <c r="H226" s="114"/>
      <c r="I226" s="114"/>
      <c r="J226" s="114"/>
      <c r="K226" s="115"/>
      <c r="L226" s="117"/>
      <c r="M226" s="114"/>
      <c r="N226" s="119"/>
      <c r="O226" s="119"/>
      <c r="P226" s="119"/>
    </row>
    <row r="227" spans="3:16" s="113" customFormat="1" ht="20.100000000000001" customHeight="1">
      <c r="C227" s="114"/>
      <c r="E227" s="116"/>
      <c r="F227" s="116"/>
      <c r="G227" s="116"/>
      <c r="H227" s="114"/>
      <c r="I227" s="114"/>
      <c r="J227" s="114"/>
      <c r="K227" s="115"/>
      <c r="L227" s="117"/>
      <c r="M227" s="114"/>
      <c r="N227" s="119"/>
      <c r="O227" s="119"/>
      <c r="P227" s="119"/>
    </row>
    <row r="228" spans="3:16" s="113" customFormat="1" ht="20.100000000000001" customHeight="1">
      <c r="C228" s="114"/>
      <c r="E228" s="116"/>
      <c r="F228" s="116"/>
      <c r="G228" s="116"/>
      <c r="H228" s="114"/>
      <c r="I228" s="114"/>
      <c r="J228" s="114"/>
      <c r="K228" s="115"/>
      <c r="L228" s="117"/>
      <c r="M228" s="114"/>
      <c r="N228" s="119"/>
      <c r="O228" s="119"/>
      <c r="P228" s="119"/>
    </row>
    <row r="229" spans="3:16" s="113" customFormat="1" ht="20.100000000000001" customHeight="1">
      <c r="C229" s="114"/>
      <c r="E229" s="116"/>
      <c r="F229" s="116"/>
      <c r="G229" s="116"/>
      <c r="H229" s="114"/>
      <c r="I229" s="114"/>
      <c r="J229" s="114"/>
      <c r="K229" s="115"/>
      <c r="L229" s="117"/>
      <c r="M229" s="114"/>
      <c r="N229" s="119"/>
      <c r="O229" s="119"/>
      <c r="P229" s="119"/>
    </row>
    <row r="230" spans="3:16" s="113" customFormat="1" ht="20.100000000000001" customHeight="1">
      <c r="C230" s="114"/>
      <c r="E230" s="116"/>
      <c r="F230" s="116"/>
      <c r="G230" s="116"/>
      <c r="H230" s="114"/>
      <c r="I230" s="114"/>
      <c r="J230" s="114"/>
      <c r="K230" s="115"/>
      <c r="L230" s="117"/>
      <c r="M230" s="114"/>
      <c r="N230" s="119"/>
      <c r="O230" s="119"/>
      <c r="P230" s="119"/>
    </row>
    <row r="231" spans="3:16" s="113" customFormat="1" ht="20.100000000000001" customHeight="1">
      <c r="C231" s="114"/>
      <c r="E231" s="116"/>
      <c r="F231" s="116"/>
      <c r="G231" s="116"/>
      <c r="H231" s="114"/>
      <c r="I231" s="114"/>
      <c r="J231" s="114"/>
      <c r="K231" s="115"/>
      <c r="L231" s="117"/>
      <c r="M231" s="114"/>
      <c r="N231" s="119"/>
      <c r="O231" s="119"/>
      <c r="P231" s="119"/>
    </row>
    <row r="232" spans="3:16" s="113" customFormat="1" ht="20.100000000000001" customHeight="1">
      <c r="C232" s="114"/>
      <c r="E232" s="116"/>
      <c r="F232" s="116"/>
      <c r="G232" s="116"/>
      <c r="H232" s="114"/>
      <c r="I232" s="114"/>
      <c r="J232" s="114"/>
      <c r="K232" s="115"/>
      <c r="L232" s="117"/>
      <c r="M232" s="114"/>
      <c r="N232" s="119"/>
      <c r="O232" s="119"/>
      <c r="P232" s="119"/>
    </row>
    <row r="233" spans="3:16" s="113" customFormat="1" ht="20.100000000000001" customHeight="1">
      <c r="C233" s="114"/>
      <c r="E233" s="116"/>
      <c r="F233" s="116"/>
      <c r="G233" s="116"/>
      <c r="H233" s="114"/>
      <c r="I233" s="114"/>
      <c r="J233" s="114"/>
      <c r="K233" s="115"/>
      <c r="L233" s="117"/>
      <c r="M233" s="114"/>
      <c r="N233" s="119"/>
      <c r="O233" s="119"/>
      <c r="P233" s="119"/>
    </row>
    <row r="234" spans="3:16" s="113" customFormat="1" ht="20.100000000000001" customHeight="1">
      <c r="C234" s="114"/>
      <c r="E234" s="116"/>
      <c r="F234" s="116"/>
      <c r="G234" s="116"/>
      <c r="H234" s="114"/>
      <c r="I234" s="114"/>
      <c r="J234" s="114"/>
      <c r="K234" s="115"/>
      <c r="L234" s="117"/>
      <c r="M234" s="114"/>
      <c r="N234" s="119"/>
      <c r="O234" s="119"/>
      <c r="P234" s="119"/>
    </row>
    <row r="235" spans="3:16" s="113" customFormat="1" ht="20.100000000000001" customHeight="1">
      <c r="C235" s="114"/>
      <c r="E235" s="116"/>
      <c r="F235" s="116"/>
      <c r="G235" s="116"/>
      <c r="H235" s="114"/>
      <c r="I235" s="114"/>
      <c r="J235" s="114"/>
      <c r="K235" s="115"/>
      <c r="L235" s="117"/>
      <c r="M235" s="114"/>
      <c r="N235" s="119"/>
      <c r="O235" s="119"/>
      <c r="P235" s="119"/>
    </row>
    <row r="236" spans="3:16" s="113" customFormat="1" ht="20.100000000000001" customHeight="1">
      <c r="C236" s="114"/>
      <c r="E236" s="116"/>
      <c r="F236" s="116"/>
      <c r="G236" s="116"/>
      <c r="H236" s="114"/>
      <c r="I236" s="114"/>
      <c r="J236" s="114"/>
      <c r="K236" s="115"/>
      <c r="L236" s="117"/>
      <c r="M236" s="114"/>
      <c r="N236" s="119"/>
      <c r="O236" s="119"/>
      <c r="P236" s="119"/>
    </row>
    <row r="237" spans="3:16" s="113" customFormat="1" ht="20.100000000000001" customHeight="1">
      <c r="C237" s="114"/>
      <c r="E237" s="116"/>
      <c r="F237" s="116"/>
      <c r="G237" s="116"/>
      <c r="H237" s="114"/>
      <c r="I237" s="114"/>
      <c r="J237" s="114"/>
      <c r="K237" s="115"/>
      <c r="L237" s="117"/>
      <c r="M237" s="114"/>
      <c r="N237" s="119"/>
      <c r="O237" s="119"/>
      <c r="P237" s="119"/>
    </row>
    <row r="238" spans="3:16" s="113" customFormat="1" ht="20.100000000000001" customHeight="1">
      <c r="C238" s="114"/>
      <c r="E238" s="116"/>
      <c r="F238" s="116"/>
      <c r="G238" s="116"/>
      <c r="H238" s="114"/>
      <c r="I238" s="114"/>
      <c r="J238" s="114"/>
      <c r="K238" s="115"/>
      <c r="L238" s="117"/>
      <c r="M238" s="114"/>
      <c r="N238" s="119"/>
      <c r="O238" s="119"/>
      <c r="P238" s="119"/>
    </row>
    <row r="239" spans="3:16" s="113" customFormat="1" ht="20.100000000000001" customHeight="1">
      <c r="C239" s="114"/>
      <c r="E239" s="116"/>
      <c r="F239" s="116"/>
      <c r="G239" s="116"/>
      <c r="H239" s="114"/>
      <c r="I239" s="114"/>
      <c r="J239" s="114"/>
      <c r="K239" s="115"/>
      <c r="L239" s="117"/>
      <c r="M239" s="114"/>
      <c r="N239" s="119"/>
      <c r="O239" s="119"/>
      <c r="P239" s="119"/>
    </row>
    <row r="240" spans="3:16" s="113" customFormat="1" ht="20.100000000000001" customHeight="1">
      <c r="C240" s="114"/>
      <c r="E240" s="116"/>
      <c r="F240" s="116"/>
      <c r="G240" s="116"/>
      <c r="H240" s="114"/>
      <c r="I240" s="114"/>
      <c r="J240" s="114"/>
      <c r="K240" s="115"/>
      <c r="L240" s="117"/>
      <c r="M240" s="114"/>
      <c r="N240" s="119"/>
      <c r="O240" s="119"/>
      <c r="P240" s="119"/>
    </row>
    <row r="241" spans="3:16" s="113" customFormat="1" ht="20.100000000000001" customHeight="1">
      <c r="C241" s="114"/>
      <c r="E241" s="116"/>
      <c r="F241" s="116"/>
      <c r="G241" s="116"/>
      <c r="H241" s="114"/>
      <c r="I241" s="114"/>
      <c r="J241" s="114"/>
      <c r="K241" s="115"/>
      <c r="L241" s="117"/>
      <c r="M241" s="114"/>
      <c r="N241" s="119"/>
      <c r="O241" s="119"/>
      <c r="P241" s="119"/>
    </row>
    <row r="242" spans="3:16" s="113" customFormat="1" ht="20.100000000000001" customHeight="1">
      <c r="C242" s="114"/>
      <c r="E242" s="116"/>
      <c r="F242" s="116"/>
      <c r="G242" s="116"/>
      <c r="H242" s="114"/>
      <c r="I242" s="114"/>
      <c r="J242" s="114"/>
      <c r="K242" s="115"/>
      <c r="L242" s="117"/>
      <c r="M242" s="114"/>
      <c r="N242" s="119"/>
      <c r="O242" s="119"/>
      <c r="P242" s="119"/>
    </row>
    <row r="243" spans="3:16" s="113" customFormat="1" ht="20.100000000000001" customHeight="1">
      <c r="C243" s="114"/>
      <c r="E243" s="116"/>
      <c r="F243" s="116"/>
      <c r="G243" s="116"/>
      <c r="H243" s="114"/>
      <c r="I243" s="114"/>
      <c r="J243" s="114"/>
      <c r="K243" s="115"/>
      <c r="L243" s="117"/>
      <c r="M243" s="114"/>
      <c r="N243" s="119"/>
      <c r="O243" s="119"/>
      <c r="P243" s="119"/>
    </row>
    <row r="244" spans="3:16" s="113" customFormat="1" ht="20.100000000000001" customHeight="1">
      <c r="C244" s="114"/>
      <c r="E244" s="116"/>
      <c r="F244" s="116"/>
      <c r="G244" s="116"/>
      <c r="H244" s="114"/>
      <c r="I244" s="114"/>
      <c r="J244" s="114"/>
      <c r="K244" s="115"/>
      <c r="L244" s="117"/>
      <c r="M244" s="114"/>
      <c r="N244" s="119"/>
      <c r="O244" s="119"/>
      <c r="P244" s="119"/>
    </row>
    <row r="245" spans="3:16" s="113" customFormat="1" ht="20.100000000000001" customHeight="1">
      <c r="C245" s="114"/>
      <c r="E245" s="116"/>
      <c r="F245" s="116"/>
      <c r="G245" s="116"/>
      <c r="H245" s="114"/>
      <c r="I245" s="114"/>
      <c r="J245" s="114"/>
      <c r="K245" s="115"/>
      <c r="L245" s="117"/>
      <c r="M245" s="114"/>
      <c r="N245" s="119"/>
      <c r="O245" s="119"/>
      <c r="P245" s="119"/>
    </row>
    <row r="246" spans="3:16" s="113" customFormat="1" ht="20.100000000000001" customHeight="1">
      <c r="C246" s="114"/>
      <c r="E246" s="116"/>
      <c r="F246" s="116"/>
      <c r="G246" s="116"/>
      <c r="H246" s="114"/>
      <c r="I246" s="114"/>
      <c r="J246" s="114"/>
      <c r="K246" s="115"/>
      <c r="L246" s="117"/>
      <c r="M246" s="114"/>
      <c r="N246" s="119"/>
      <c r="O246" s="119"/>
      <c r="P246" s="119"/>
    </row>
    <row r="247" spans="3:16" s="113" customFormat="1" ht="20.100000000000001" customHeight="1">
      <c r="C247" s="114"/>
      <c r="E247" s="116"/>
      <c r="F247" s="116"/>
      <c r="G247" s="116"/>
      <c r="H247" s="114"/>
      <c r="I247" s="114"/>
      <c r="J247" s="114"/>
      <c r="K247" s="115"/>
      <c r="L247" s="117"/>
      <c r="M247" s="114"/>
      <c r="N247" s="119"/>
      <c r="O247" s="119"/>
      <c r="P247" s="119"/>
    </row>
    <row r="248" spans="3:16" s="113" customFormat="1" ht="20.100000000000001" customHeight="1">
      <c r="C248" s="114"/>
      <c r="E248" s="116"/>
      <c r="F248" s="116"/>
      <c r="G248" s="116"/>
      <c r="H248" s="114"/>
      <c r="I248" s="114"/>
      <c r="J248" s="114"/>
      <c r="K248" s="115"/>
      <c r="L248" s="117"/>
      <c r="M248" s="114"/>
      <c r="N248" s="119"/>
      <c r="O248" s="119"/>
      <c r="P248" s="119"/>
    </row>
    <row r="249" spans="3:16" s="113" customFormat="1" ht="20.100000000000001" customHeight="1">
      <c r="C249" s="114"/>
      <c r="E249" s="116"/>
      <c r="F249" s="116"/>
      <c r="G249" s="116"/>
      <c r="H249" s="114"/>
      <c r="I249" s="114"/>
      <c r="J249" s="114"/>
      <c r="K249" s="115"/>
      <c r="L249" s="117"/>
      <c r="M249" s="114"/>
      <c r="N249" s="119"/>
      <c r="O249" s="119"/>
      <c r="P249" s="119"/>
    </row>
    <row r="250" spans="3:16" s="113" customFormat="1" ht="20.100000000000001" customHeight="1">
      <c r="C250" s="114"/>
      <c r="E250" s="116"/>
      <c r="F250" s="116"/>
      <c r="G250" s="116"/>
      <c r="H250" s="114"/>
      <c r="I250" s="114"/>
      <c r="J250" s="114"/>
      <c r="K250" s="115"/>
      <c r="L250" s="117"/>
      <c r="M250" s="114"/>
      <c r="N250" s="119"/>
      <c r="O250" s="119"/>
      <c r="P250" s="119"/>
    </row>
    <row r="251" spans="3:16" s="113" customFormat="1" ht="20.100000000000001" customHeight="1">
      <c r="C251" s="114"/>
      <c r="E251" s="116"/>
      <c r="F251" s="116"/>
      <c r="G251" s="116"/>
      <c r="H251" s="114"/>
      <c r="I251" s="114"/>
      <c r="J251" s="114"/>
      <c r="K251" s="115"/>
      <c r="L251" s="117"/>
      <c r="M251" s="114"/>
      <c r="N251" s="119"/>
      <c r="O251" s="119"/>
      <c r="P251" s="119"/>
    </row>
    <row r="252" spans="3:16" s="113" customFormat="1" ht="20.100000000000001" customHeight="1">
      <c r="C252" s="114"/>
      <c r="E252" s="116"/>
      <c r="F252" s="116"/>
      <c r="G252" s="116"/>
      <c r="H252" s="114"/>
      <c r="I252" s="114"/>
      <c r="J252" s="114"/>
      <c r="K252" s="115"/>
      <c r="L252" s="117"/>
      <c r="M252" s="114"/>
      <c r="N252" s="119"/>
      <c r="O252" s="119"/>
      <c r="P252" s="119"/>
    </row>
    <row r="253" spans="3:16" s="113" customFormat="1" ht="20.100000000000001" customHeight="1">
      <c r="C253" s="114"/>
      <c r="E253" s="116"/>
      <c r="F253" s="116"/>
      <c r="G253" s="116"/>
      <c r="H253" s="114"/>
      <c r="I253" s="114"/>
      <c r="J253" s="114"/>
      <c r="K253" s="115"/>
      <c r="L253" s="117"/>
      <c r="M253" s="114"/>
      <c r="N253" s="119"/>
      <c r="O253" s="119"/>
      <c r="P253" s="119"/>
    </row>
    <row r="254" spans="3:16" s="113" customFormat="1" ht="20.100000000000001" customHeight="1">
      <c r="C254" s="114"/>
      <c r="E254" s="116"/>
      <c r="F254" s="116"/>
      <c r="G254" s="116"/>
      <c r="H254" s="114"/>
      <c r="I254" s="114"/>
      <c r="J254" s="114"/>
      <c r="K254" s="115"/>
      <c r="L254" s="117"/>
      <c r="M254" s="114"/>
      <c r="N254" s="119"/>
      <c r="O254" s="119"/>
      <c r="P254" s="119"/>
    </row>
    <row r="255" spans="3:16" s="113" customFormat="1" ht="20.100000000000001" customHeight="1">
      <c r="C255" s="114"/>
      <c r="E255" s="116"/>
      <c r="F255" s="116"/>
      <c r="G255" s="116"/>
      <c r="H255" s="114"/>
      <c r="I255" s="114"/>
      <c r="J255" s="114"/>
      <c r="K255" s="115"/>
      <c r="L255" s="117"/>
      <c r="M255" s="114"/>
      <c r="N255" s="119"/>
      <c r="O255" s="119"/>
      <c r="P255" s="119"/>
    </row>
    <row r="256" spans="3:16" s="113" customFormat="1" ht="20.100000000000001" customHeight="1">
      <c r="C256" s="114"/>
      <c r="E256" s="116"/>
      <c r="F256" s="116"/>
      <c r="G256" s="116"/>
      <c r="H256" s="114"/>
      <c r="I256" s="114"/>
      <c r="J256" s="114"/>
      <c r="K256" s="115"/>
      <c r="L256" s="117"/>
      <c r="M256" s="114"/>
      <c r="N256" s="119"/>
      <c r="O256" s="119"/>
      <c r="P256" s="119"/>
    </row>
    <row r="257" spans="3:16" s="113" customFormat="1" ht="20.100000000000001" customHeight="1">
      <c r="C257" s="114"/>
      <c r="E257" s="116"/>
      <c r="F257" s="116"/>
      <c r="G257" s="116"/>
      <c r="H257" s="114"/>
      <c r="I257" s="114"/>
      <c r="J257" s="114"/>
      <c r="K257" s="115"/>
      <c r="L257" s="117"/>
      <c r="M257" s="114"/>
      <c r="N257" s="119"/>
      <c r="O257" s="119"/>
      <c r="P257" s="119"/>
    </row>
    <row r="258" spans="3:16" s="113" customFormat="1" ht="20.100000000000001" customHeight="1">
      <c r="C258" s="114"/>
      <c r="E258" s="116"/>
      <c r="F258" s="116"/>
      <c r="G258" s="116"/>
      <c r="H258" s="114"/>
      <c r="I258" s="114"/>
      <c r="J258" s="114"/>
      <c r="K258" s="115"/>
      <c r="L258" s="117"/>
      <c r="M258" s="114"/>
      <c r="N258" s="119"/>
      <c r="O258" s="119"/>
      <c r="P258" s="119"/>
    </row>
    <row r="259" spans="3:16" s="113" customFormat="1" ht="20.100000000000001" customHeight="1">
      <c r="C259" s="114"/>
      <c r="E259" s="116"/>
      <c r="F259" s="116"/>
      <c r="G259" s="116"/>
      <c r="H259" s="114"/>
      <c r="I259" s="114"/>
      <c r="J259" s="114"/>
      <c r="K259" s="115"/>
      <c r="L259" s="117"/>
      <c r="M259" s="114"/>
      <c r="N259" s="119"/>
      <c r="O259" s="119"/>
      <c r="P259" s="119"/>
    </row>
    <row r="260" spans="3:16" s="113" customFormat="1" ht="20.100000000000001" customHeight="1">
      <c r="C260" s="114"/>
      <c r="E260" s="116"/>
      <c r="F260" s="116"/>
      <c r="G260" s="116"/>
      <c r="H260" s="114"/>
      <c r="I260" s="114"/>
      <c r="J260" s="114"/>
      <c r="K260" s="115"/>
      <c r="L260" s="117"/>
      <c r="M260" s="114"/>
      <c r="N260" s="119"/>
      <c r="O260" s="119"/>
      <c r="P260" s="119"/>
    </row>
    <row r="261" spans="3:16" s="113" customFormat="1" ht="20.100000000000001" customHeight="1">
      <c r="C261" s="114"/>
      <c r="E261" s="116"/>
      <c r="F261" s="116"/>
      <c r="G261" s="116"/>
      <c r="H261" s="114"/>
      <c r="I261" s="114"/>
      <c r="J261" s="114"/>
      <c r="K261" s="115"/>
      <c r="L261" s="117"/>
      <c r="M261" s="114"/>
      <c r="N261" s="119"/>
      <c r="O261" s="119"/>
      <c r="P261" s="119"/>
    </row>
    <row r="262" spans="3:16" s="113" customFormat="1" ht="20.100000000000001" customHeight="1">
      <c r="C262" s="114"/>
      <c r="E262" s="116"/>
      <c r="F262" s="116"/>
      <c r="G262" s="116"/>
      <c r="H262" s="114"/>
      <c r="I262" s="114"/>
      <c r="J262" s="114"/>
      <c r="K262" s="115"/>
      <c r="L262" s="117"/>
      <c r="M262" s="114"/>
      <c r="N262" s="119"/>
      <c r="O262" s="119"/>
      <c r="P262" s="119"/>
    </row>
    <row r="263" spans="3:16" s="113" customFormat="1" ht="20.100000000000001" customHeight="1">
      <c r="C263" s="114"/>
      <c r="E263" s="116"/>
      <c r="F263" s="116"/>
      <c r="G263" s="116"/>
      <c r="H263" s="114"/>
      <c r="I263" s="114"/>
      <c r="J263" s="114"/>
      <c r="K263" s="115"/>
      <c r="L263" s="117"/>
      <c r="M263" s="114"/>
      <c r="N263" s="119"/>
      <c r="O263" s="119"/>
      <c r="P263" s="119"/>
    </row>
    <row r="264" spans="3:16" s="113" customFormat="1" ht="20.100000000000001" customHeight="1">
      <c r="C264" s="114"/>
      <c r="E264" s="116"/>
      <c r="F264" s="116"/>
      <c r="G264" s="116"/>
      <c r="H264" s="114"/>
      <c r="I264" s="114"/>
      <c r="J264" s="114"/>
      <c r="K264" s="115"/>
      <c r="L264" s="117"/>
      <c r="M264" s="114"/>
      <c r="N264" s="119"/>
      <c r="O264" s="119"/>
      <c r="P264" s="119"/>
    </row>
    <row r="265" spans="3:16" s="113" customFormat="1" ht="20.100000000000001" customHeight="1">
      <c r="C265" s="114"/>
      <c r="E265" s="116"/>
      <c r="F265" s="116"/>
      <c r="G265" s="116"/>
      <c r="H265" s="114"/>
      <c r="I265" s="114"/>
      <c r="J265" s="114"/>
      <c r="K265" s="115"/>
      <c r="L265" s="117"/>
      <c r="M265" s="114"/>
      <c r="N265" s="119"/>
      <c r="O265" s="119"/>
      <c r="P265" s="119"/>
    </row>
    <row r="266" spans="3:16" s="113" customFormat="1" ht="20.100000000000001" customHeight="1">
      <c r="C266" s="114"/>
      <c r="E266" s="116"/>
      <c r="F266" s="116"/>
      <c r="G266" s="116"/>
      <c r="H266" s="114"/>
      <c r="I266" s="114"/>
      <c r="J266" s="114"/>
      <c r="K266" s="115"/>
      <c r="L266" s="117"/>
      <c r="M266" s="114"/>
      <c r="N266" s="119"/>
      <c r="O266" s="119"/>
      <c r="P266" s="119"/>
    </row>
    <row r="267" spans="3:16" s="113" customFormat="1" ht="20.100000000000001" customHeight="1">
      <c r="C267" s="114"/>
      <c r="E267" s="116"/>
      <c r="F267" s="116"/>
      <c r="G267" s="116"/>
      <c r="H267" s="114"/>
      <c r="I267" s="114"/>
      <c r="J267" s="114"/>
      <c r="K267" s="115"/>
      <c r="L267" s="117"/>
      <c r="M267" s="114"/>
      <c r="N267" s="119"/>
      <c r="O267" s="119"/>
      <c r="P267" s="119"/>
    </row>
    <row r="268" spans="3:16" s="113" customFormat="1" ht="20.100000000000001" customHeight="1">
      <c r="C268" s="114"/>
      <c r="E268" s="116"/>
      <c r="F268" s="116"/>
      <c r="G268" s="116"/>
      <c r="H268" s="114"/>
      <c r="I268" s="114"/>
      <c r="J268" s="114"/>
      <c r="K268" s="115"/>
      <c r="L268" s="117"/>
      <c r="M268" s="114"/>
      <c r="N268" s="119"/>
      <c r="O268" s="119"/>
      <c r="P268" s="119"/>
    </row>
    <row r="269" spans="3:16" s="113" customFormat="1" ht="20.100000000000001" customHeight="1">
      <c r="C269" s="114"/>
      <c r="E269" s="116"/>
      <c r="F269" s="116"/>
      <c r="G269" s="116"/>
      <c r="H269" s="114"/>
      <c r="I269" s="114"/>
      <c r="J269" s="114"/>
      <c r="K269" s="115"/>
      <c r="L269" s="117"/>
      <c r="M269" s="114"/>
      <c r="N269" s="119"/>
      <c r="O269" s="119"/>
      <c r="P269" s="119"/>
    </row>
    <row r="270" spans="3:16" s="113" customFormat="1" ht="20.100000000000001" customHeight="1">
      <c r="C270" s="114"/>
      <c r="E270" s="116"/>
      <c r="F270" s="116"/>
      <c r="G270" s="116"/>
      <c r="H270" s="114"/>
      <c r="I270" s="114"/>
      <c r="J270" s="114"/>
      <c r="K270" s="115"/>
      <c r="L270" s="117"/>
      <c r="M270" s="114"/>
      <c r="N270" s="119"/>
      <c r="O270" s="119"/>
      <c r="P270" s="119"/>
    </row>
    <row r="271" spans="3:16" s="113" customFormat="1" ht="20.100000000000001" customHeight="1">
      <c r="C271" s="114"/>
      <c r="E271" s="116"/>
      <c r="F271" s="116"/>
      <c r="G271" s="116"/>
      <c r="H271" s="114"/>
      <c r="I271" s="114"/>
      <c r="J271" s="114"/>
      <c r="K271" s="115"/>
      <c r="L271" s="117"/>
      <c r="M271" s="114"/>
      <c r="N271" s="119"/>
      <c r="O271" s="119"/>
      <c r="P271" s="119"/>
    </row>
    <row r="272" spans="3:16" s="113" customFormat="1" ht="20.100000000000001" customHeight="1">
      <c r="C272" s="114"/>
      <c r="E272" s="116"/>
      <c r="F272" s="116"/>
      <c r="G272" s="116"/>
      <c r="H272" s="114"/>
      <c r="I272" s="114"/>
      <c r="J272" s="114"/>
      <c r="K272" s="115"/>
      <c r="L272" s="117"/>
      <c r="M272" s="114"/>
      <c r="N272" s="119"/>
      <c r="O272" s="119"/>
      <c r="P272" s="119"/>
    </row>
    <row r="273" spans="3:16" s="113" customFormat="1" ht="20.100000000000001" customHeight="1">
      <c r="C273" s="114"/>
      <c r="E273" s="116"/>
      <c r="F273" s="116"/>
      <c r="G273" s="116"/>
      <c r="H273" s="114"/>
      <c r="I273" s="114"/>
      <c r="J273" s="114"/>
      <c r="K273" s="115"/>
      <c r="L273" s="117"/>
      <c r="M273" s="114"/>
      <c r="N273" s="119"/>
      <c r="O273" s="119"/>
      <c r="P273" s="119"/>
    </row>
    <row r="274" spans="3:16" s="113" customFormat="1" ht="20.100000000000001" customHeight="1">
      <c r="C274" s="114"/>
      <c r="E274" s="116"/>
      <c r="F274" s="116"/>
      <c r="G274" s="116"/>
      <c r="H274" s="114"/>
      <c r="I274" s="114"/>
      <c r="J274" s="114"/>
      <c r="K274" s="115"/>
      <c r="L274" s="117"/>
      <c r="M274" s="114"/>
      <c r="N274" s="119"/>
      <c r="O274" s="119"/>
      <c r="P274" s="119"/>
    </row>
    <row r="275" spans="3:16" s="113" customFormat="1" ht="20.100000000000001" customHeight="1">
      <c r="C275" s="114"/>
      <c r="E275" s="116"/>
      <c r="F275" s="116"/>
      <c r="G275" s="116"/>
      <c r="H275" s="114"/>
      <c r="I275" s="114"/>
      <c r="J275" s="114"/>
      <c r="K275" s="115"/>
      <c r="L275" s="117"/>
      <c r="M275" s="114"/>
      <c r="N275" s="119"/>
      <c r="O275" s="119"/>
      <c r="P275" s="119"/>
    </row>
    <row r="276" spans="3:16" s="113" customFormat="1" ht="20.100000000000001" customHeight="1">
      <c r="C276" s="114"/>
      <c r="E276" s="116"/>
      <c r="F276" s="116"/>
      <c r="G276" s="116"/>
      <c r="H276" s="114"/>
      <c r="I276" s="114"/>
      <c r="J276" s="114"/>
      <c r="K276" s="115"/>
      <c r="L276" s="117"/>
      <c r="M276" s="114"/>
      <c r="N276" s="119"/>
      <c r="O276" s="119"/>
      <c r="P276" s="119"/>
    </row>
    <row r="277" spans="3:16" s="113" customFormat="1" ht="20.100000000000001" customHeight="1">
      <c r="C277" s="114"/>
      <c r="E277" s="116"/>
      <c r="F277" s="116"/>
      <c r="G277" s="116"/>
      <c r="H277" s="114"/>
      <c r="I277" s="114"/>
      <c r="J277" s="114"/>
      <c r="K277" s="115"/>
      <c r="L277" s="117"/>
      <c r="M277" s="114"/>
      <c r="N277" s="119"/>
      <c r="O277" s="119"/>
      <c r="P277" s="119"/>
    </row>
    <row r="278" spans="3:16" s="113" customFormat="1" ht="20.100000000000001" customHeight="1">
      <c r="C278" s="114"/>
      <c r="E278" s="116"/>
      <c r="F278" s="116"/>
      <c r="G278" s="116"/>
      <c r="H278" s="114"/>
      <c r="I278" s="114"/>
      <c r="J278" s="114"/>
      <c r="K278" s="115"/>
      <c r="L278" s="117"/>
      <c r="M278" s="114"/>
      <c r="N278" s="119"/>
      <c r="O278" s="119"/>
      <c r="P278" s="119"/>
    </row>
    <row r="279" spans="3:16" s="113" customFormat="1" ht="20.100000000000001" customHeight="1">
      <c r="C279" s="114"/>
      <c r="E279" s="116"/>
      <c r="F279" s="116"/>
      <c r="G279" s="116"/>
      <c r="H279" s="114"/>
      <c r="I279" s="114"/>
      <c r="J279" s="114"/>
      <c r="K279" s="115"/>
      <c r="L279" s="117"/>
      <c r="M279" s="114"/>
      <c r="N279" s="119"/>
      <c r="O279" s="119"/>
      <c r="P279" s="119"/>
    </row>
    <row r="280" spans="3:16" s="113" customFormat="1" ht="20.100000000000001" customHeight="1">
      <c r="C280" s="114"/>
      <c r="E280" s="116"/>
      <c r="F280" s="116"/>
      <c r="G280" s="116"/>
      <c r="H280" s="114"/>
      <c r="I280" s="114"/>
      <c r="J280" s="114"/>
      <c r="K280" s="115"/>
      <c r="L280" s="117"/>
      <c r="M280" s="114"/>
      <c r="N280" s="119"/>
      <c r="O280" s="119"/>
      <c r="P280" s="119"/>
    </row>
    <row r="281" spans="3:16" s="113" customFormat="1" ht="20.100000000000001" customHeight="1">
      <c r="C281" s="114"/>
      <c r="E281" s="116"/>
      <c r="F281" s="116"/>
      <c r="G281" s="116"/>
      <c r="H281" s="114"/>
      <c r="I281" s="114"/>
      <c r="J281" s="114"/>
      <c r="K281" s="115"/>
      <c r="L281" s="117"/>
      <c r="M281" s="114"/>
      <c r="N281" s="119"/>
      <c r="O281" s="119"/>
      <c r="P281" s="119"/>
    </row>
    <row r="282" spans="3:16" s="113" customFormat="1" ht="20.100000000000001" customHeight="1">
      <c r="C282" s="114"/>
      <c r="E282" s="116"/>
      <c r="F282" s="116"/>
      <c r="G282" s="116"/>
      <c r="H282" s="114"/>
      <c r="I282" s="114"/>
      <c r="J282" s="114"/>
      <c r="K282" s="115"/>
      <c r="L282" s="117"/>
      <c r="M282" s="114"/>
      <c r="N282" s="119"/>
      <c r="O282" s="119"/>
      <c r="P282" s="119"/>
    </row>
    <row r="283" spans="3:16" s="113" customFormat="1" ht="20.100000000000001" customHeight="1">
      <c r="C283" s="114"/>
      <c r="E283" s="116"/>
      <c r="F283" s="116"/>
      <c r="G283" s="116"/>
      <c r="H283" s="114"/>
      <c r="I283" s="114"/>
      <c r="J283" s="114"/>
      <c r="K283" s="115"/>
      <c r="L283" s="117"/>
      <c r="M283" s="114"/>
      <c r="N283" s="119"/>
      <c r="O283" s="119"/>
      <c r="P283" s="119"/>
    </row>
    <row r="284" spans="3:16" s="113" customFormat="1" ht="20.100000000000001" customHeight="1">
      <c r="C284" s="114"/>
      <c r="E284" s="116"/>
      <c r="F284" s="116"/>
      <c r="G284" s="116"/>
      <c r="H284" s="114"/>
      <c r="I284" s="114"/>
      <c r="J284" s="114"/>
      <c r="K284" s="115"/>
      <c r="L284" s="117"/>
      <c r="M284" s="114"/>
      <c r="N284" s="119"/>
      <c r="O284" s="119"/>
      <c r="P284" s="119"/>
    </row>
    <row r="285" spans="3:16" s="113" customFormat="1" ht="20.100000000000001" customHeight="1">
      <c r="C285" s="114"/>
      <c r="E285" s="116"/>
      <c r="F285" s="116"/>
      <c r="G285" s="116"/>
      <c r="H285" s="114"/>
      <c r="I285" s="114"/>
      <c r="J285" s="114"/>
      <c r="K285" s="115"/>
      <c r="L285" s="117"/>
      <c r="M285" s="114"/>
      <c r="N285" s="119"/>
      <c r="O285" s="119"/>
      <c r="P285" s="119"/>
    </row>
    <row r="286" spans="3:16" s="113" customFormat="1" ht="20.100000000000001" customHeight="1">
      <c r="C286" s="114"/>
      <c r="E286" s="116"/>
      <c r="F286" s="116"/>
      <c r="G286" s="116"/>
      <c r="H286" s="114"/>
      <c r="I286" s="114"/>
      <c r="J286" s="114"/>
      <c r="K286" s="115"/>
      <c r="L286" s="117"/>
      <c r="M286" s="114"/>
      <c r="N286" s="119"/>
      <c r="O286" s="119"/>
      <c r="P286" s="119"/>
    </row>
    <row r="287" spans="3:16" s="113" customFormat="1" ht="20.100000000000001" customHeight="1">
      <c r="C287" s="114"/>
      <c r="E287" s="116"/>
      <c r="F287" s="116"/>
      <c r="G287" s="116"/>
      <c r="H287" s="114"/>
      <c r="I287" s="114"/>
      <c r="J287" s="114"/>
      <c r="K287" s="115"/>
      <c r="L287" s="117"/>
      <c r="M287" s="114"/>
      <c r="N287" s="119"/>
      <c r="O287" s="119"/>
      <c r="P287" s="119"/>
    </row>
    <row r="288" spans="3:16" s="113" customFormat="1" ht="20.100000000000001" customHeight="1">
      <c r="C288" s="114"/>
      <c r="E288" s="116"/>
      <c r="F288" s="116"/>
      <c r="G288" s="116"/>
      <c r="H288" s="114"/>
      <c r="I288" s="114"/>
      <c r="J288" s="114"/>
      <c r="K288" s="115"/>
      <c r="L288" s="117"/>
      <c r="M288" s="114"/>
      <c r="N288" s="119"/>
      <c r="O288" s="119"/>
      <c r="P288" s="119"/>
    </row>
    <row r="289" spans="3:16" s="113" customFormat="1" ht="20.100000000000001" customHeight="1">
      <c r="C289" s="114"/>
      <c r="E289" s="116"/>
      <c r="F289" s="116"/>
      <c r="G289" s="116"/>
      <c r="H289" s="114"/>
      <c r="I289" s="114"/>
      <c r="J289" s="114"/>
      <c r="K289" s="115"/>
      <c r="L289" s="117"/>
      <c r="M289" s="114"/>
      <c r="N289" s="119"/>
      <c r="O289" s="119"/>
      <c r="P289" s="119"/>
    </row>
    <row r="290" spans="3:16" s="113" customFormat="1" ht="20.100000000000001" customHeight="1">
      <c r="C290" s="114"/>
      <c r="E290" s="116"/>
      <c r="F290" s="116"/>
      <c r="G290" s="116"/>
      <c r="H290" s="114"/>
      <c r="I290" s="114"/>
      <c r="J290" s="114"/>
      <c r="K290" s="115"/>
      <c r="L290" s="117"/>
      <c r="M290" s="114"/>
      <c r="N290" s="119"/>
      <c r="O290" s="119"/>
      <c r="P290" s="119"/>
    </row>
    <row r="291" spans="3:16" s="113" customFormat="1" ht="20.100000000000001" customHeight="1">
      <c r="C291" s="114"/>
      <c r="E291" s="116"/>
      <c r="F291" s="116"/>
      <c r="G291" s="116"/>
      <c r="H291" s="114"/>
      <c r="I291" s="114"/>
      <c r="J291" s="114"/>
      <c r="K291" s="115"/>
      <c r="L291" s="117"/>
      <c r="M291" s="114"/>
      <c r="N291" s="119"/>
      <c r="O291" s="119"/>
      <c r="P291" s="119"/>
    </row>
    <row r="292" spans="3:16" s="113" customFormat="1" ht="20.100000000000001" customHeight="1">
      <c r="C292" s="114"/>
      <c r="E292" s="116"/>
      <c r="F292" s="116"/>
      <c r="G292" s="116"/>
      <c r="H292" s="114"/>
      <c r="I292" s="114"/>
      <c r="J292" s="114"/>
      <c r="K292" s="115"/>
      <c r="L292" s="117"/>
      <c r="M292" s="114"/>
      <c r="N292" s="119"/>
      <c r="O292" s="119"/>
      <c r="P292" s="119"/>
    </row>
    <row r="293" spans="3:16" s="113" customFormat="1" ht="20.100000000000001" customHeight="1">
      <c r="C293" s="114"/>
      <c r="E293" s="116"/>
      <c r="F293" s="116"/>
      <c r="G293" s="116"/>
      <c r="H293" s="114"/>
      <c r="I293" s="114"/>
      <c r="J293" s="114"/>
      <c r="K293" s="115"/>
      <c r="L293" s="117"/>
      <c r="M293" s="114"/>
      <c r="N293" s="119"/>
      <c r="O293" s="119"/>
      <c r="P293" s="119"/>
    </row>
    <row r="294" spans="3:16" s="113" customFormat="1" ht="20.100000000000001" customHeight="1">
      <c r="C294" s="114"/>
      <c r="E294" s="116"/>
      <c r="F294" s="116"/>
      <c r="G294" s="116"/>
      <c r="H294" s="114"/>
      <c r="I294" s="114"/>
      <c r="J294" s="114"/>
      <c r="K294" s="115"/>
      <c r="L294" s="117"/>
      <c r="M294" s="114"/>
      <c r="N294" s="119"/>
      <c r="O294" s="119"/>
      <c r="P294" s="119"/>
    </row>
    <row r="295" spans="3:16" s="113" customFormat="1" ht="20.100000000000001" customHeight="1">
      <c r="C295" s="114"/>
      <c r="E295" s="116"/>
      <c r="F295" s="116"/>
      <c r="G295" s="116"/>
      <c r="H295" s="114"/>
      <c r="I295" s="114"/>
      <c r="J295" s="114"/>
      <c r="K295" s="115"/>
      <c r="L295" s="117"/>
      <c r="M295" s="114"/>
      <c r="N295" s="119"/>
      <c r="O295" s="119"/>
      <c r="P295" s="119"/>
    </row>
    <row r="296" spans="3:16" s="113" customFormat="1" ht="20.100000000000001" customHeight="1">
      <c r="C296" s="114"/>
      <c r="E296" s="116"/>
      <c r="F296" s="116"/>
      <c r="G296" s="116"/>
      <c r="H296" s="114"/>
      <c r="I296" s="114"/>
      <c r="J296" s="114"/>
      <c r="K296" s="115"/>
      <c r="L296" s="117"/>
      <c r="M296" s="114"/>
      <c r="N296" s="119"/>
      <c r="O296" s="119"/>
      <c r="P296" s="119"/>
    </row>
    <row r="297" spans="3:16" s="113" customFormat="1" ht="20.100000000000001" customHeight="1">
      <c r="C297" s="114"/>
      <c r="E297" s="116"/>
      <c r="F297" s="116"/>
      <c r="G297" s="116"/>
      <c r="H297" s="114"/>
      <c r="I297" s="114"/>
      <c r="J297" s="114"/>
      <c r="K297" s="115"/>
      <c r="L297" s="117"/>
      <c r="M297" s="114"/>
      <c r="N297" s="119"/>
      <c r="O297" s="119"/>
      <c r="P297" s="119"/>
    </row>
    <row r="298" spans="3:16" s="113" customFormat="1" ht="20.100000000000001" customHeight="1">
      <c r="C298" s="114"/>
      <c r="E298" s="116"/>
      <c r="F298" s="116"/>
      <c r="G298" s="116"/>
      <c r="H298" s="114"/>
      <c r="I298" s="114"/>
      <c r="J298" s="114"/>
      <c r="K298" s="115"/>
      <c r="L298" s="117"/>
      <c r="M298" s="114"/>
      <c r="N298" s="119"/>
      <c r="O298" s="119"/>
      <c r="P298" s="119"/>
    </row>
    <row r="299" spans="3:16" s="113" customFormat="1" ht="20.100000000000001" customHeight="1">
      <c r="C299" s="114"/>
      <c r="E299" s="116"/>
      <c r="F299" s="116"/>
      <c r="G299" s="116"/>
      <c r="H299" s="114"/>
      <c r="I299" s="114"/>
      <c r="J299" s="114"/>
      <c r="K299" s="115"/>
      <c r="L299" s="117"/>
      <c r="M299" s="114"/>
      <c r="N299" s="119"/>
      <c r="O299" s="119"/>
      <c r="P299" s="119"/>
    </row>
    <row r="300" spans="3:16" s="113" customFormat="1" ht="20.100000000000001" customHeight="1">
      <c r="C300" s="114"/>
      <c r="E300" s="116"/>
      <c r="F300" s="116"/>
      <c r="G300" s="116"/>
      <c r="H300" s="114"/>
      <c r="I300" s="114"/>
      <c r="J300" s="114"/>
      <c r="K300" s="115"/>
      <c r="L300" s="117"/>
      <c r="M300" s="114"/>
      <c r="N300" s="119"/>
      <c r="O300" s="119"/>
      <c r="P300" s="119"/>
    </row>
    <row r="301" spans="3:16" s="113" customFormat="1" ht="20.100000000000001" customHeight="1">
      <c r="C301" s="114"/>
      <c r="E301" s="116"/>
      <c r="F301" s="116"/>
      <c r="G301" s="116"/>
      <c r="H301" s="114"/>
      <c r="I301" s="114"/>
      <c r="J301" s="114"/>
      <c r="K301" s="115"/>
      <c r="L301" s="117"/>
      <c r="M301" s="114"/>
      <c r="N301" s="119"/>
      <c r="O301" s="119"/>
      <c r="P301" s="119"/>
    </row>
    <row r="302" spans="3:16" s="113" customFormat="1" ht="20.100000000000001" customHeight="1">
      <c r="C302" s="114"/>
      <c r="E302" s="116"/>
      <c r="F302" s="116"/>
      <c r="G302" s="116"/>
      <c r="H302" s="114"/>
      <c r="I302" s="114"/>
      <c r="J302" s="114"/>
      <c r="K302" s="115"/>
      <c r="L302" s="117"/>
      <c r="M302" s="114"/>
      <c r="N302" s="119"/>
      <c r="O302" s="119"/>
      <c r="P302" s="119"/>
    </row>
    <row r="303" spans="3:16" s="113" customFormat="1" ht="20.100000000000001" customHeight="1">
      <c r="C303" s="114"/>
      <c r="E303" s="116"/>
      <c r="F303" s="116"/>
      <c r="G303" s="116"/>
      <c r="H303" s="114"/>
      <c r="I303" s="114"/>
      <c r="J303" s="114"/>
      <c r="K303" s="115"/>
      <c r="L303" s="117"/>
      <c r="M303" s="114"/>
      <c r="N303" s="119"/>
      <c r="O303" s="119"/>
      <c r="P303" s="119"/>
    </row>
    <row r="304" spans="3:16" s="113" customFormat="1" ht="20.100000000000001" customHeight="1">
      <c r="C304" s="114"/>
      <c r="E304" s="116"/>
      <c r="F304" s="116"/>
      <c r="G304" s="116"/>
      <c r="H304" s="114"/>
      <c r="I304" s="114"/>
      <c r="J304" s="114"/>
      <c r="K304" s="115"/>
      <c r="L304" s="117"/>
      <c r="M304" s="114"/>
      <c r="N304" s="119"/>
      <c r="O304" s="119"/>
      <c r="P304" s="119"/>
    </row>
    <row r="305" spans="3:16" s="113" customFormat="1" ht="20.100000000000001" customHeight="1">
      <c r="C305" s="114"/>
      <c r="E305" s="116"/>
      <c r="F305" s="116"/>
      <c r="G305" s="116"/>
      <c r="H305" s="114"/>
      <c r="I305" s="114"/>
      <c r="J305" s="114"/>
      <c r="K305" s="115"/>
      <c r="L305" s="117"/>
      <c r="M305" s="114"/>
      <c r="N305" s="119"/>
      <c r="O305" s="119"/>
      <c r="P305" s="119"/>
    </row>
    <row r="306" spans="3:16" s="113" customFormat="1" ht="20.100000000000001" customHeight="1">
      <c r="C306" s="114"/>
      <c r="E306" s="116"/>
      <c r="F306" s="116"/>
      <c r="G306" s="116"/>
      <c r="H306" s="114"/>
      <c r="I306" s="114"/>
      <c r="J306" s="114"/>
      <c r="K306" s="115"/>
      <c r="L306" s="117"/>
      <c r="M306" s="114"/>
      <c r="N306" s="119"/>
      <c r="O306" s="119"/>
      <c r="P306" s="119"/>
    </row>
    <row r="307" spans="3:16" s="113" customFormat="1" ht="20.100000000000001" customHeight="1">
      <c r="C307" s="114"/>
      <c r="E307" s="116"/>
      <c r="F307" s="116"/>
      <c r="G307" s="116"/>
      <c r="H307" s="114"/>
      <c r="I307" s="114"/>
      <c r="J307" s="114"/>
      <c r="K307" s="115"/>
      <c r="L307" s="117"/>
      <c r="M307" s="114"/>
      <c r="N307" s="119"/>
      <c r="O307" s="119"/>
      <c r="P307" s="119"/>
    </row>
    <row r="308" spans="3:16" s="113" customFormat="1" ht="20.100000000000001" customHeight="1">
      <c r="C308" s="114"/>
      <c r="E308" s="116"/>
      <c r="F308" s="116"/>
      <c r="G308" s="116"/>
      <c r="H308" s="114"/>
      <c r="I308" s="114"/>
      <c r="J308" s="114"/>
      <c r="K308" s="115"/>
      <c r="L308" s="117"/>
      <c r="M308" s="114"/>
      <c r="N308" s="119"/>
      <c r="O308" s="119"/>
      <c r="P308" s="119"/>
    </row>
    <row r="309" spans="3:16" s="113" customFormat="1" ht="20.100000000000001" customHeight="1">
      <c r="C309" s="114"/>
      <c r="E309" s="116"/>
      <c r="F309" s="116"/>
      <c r="G309" s="116"/>
      <c r="H309" s="114"/>
      <c r="I309" s="114"/>
      <c r="J309" s="114"/>
      <c r="K309" s="115"/>
      <c r="L309" s="117"/>
      <c r="M309" s="114"/>
      <c r="N309" s="119"/>
      <c r="O309" s="119"/>
      <c r="P309" s="119"/>
    </row>
    <row r="310" spans="3:16" s="113" customFormat="1" ht="20.100000000000001" customHeight="1">
      <c r="C310" s="114"/>
      <c r="E310" s="116"/>
      <c r="F310" s="116"/>
      <c r="G310" s="116"/>
      <c r="H310" s="114"/>
      <c r="I310" s="114"/>
      <c r="J310" s="114"/>
      <c r="K310" s="115"/>
      <c r="L310" s="117"/>
      <c r="M310" s="114"/>
      <c r="N310" s="119"/>
      <c r="O310" s="119"/>
      <c r="P310" s="119"/>
    </row>
    <row r="311" spans="3:16" s="113" customFormat="1" ht="20.100000000000001" customHeight="1">
      <c r="C311" s="114"/>
      <c r="E311" s="116"/>
      <c r="F311" s="116"/>
      <c r="G311" s="116"/>
      <c r="H311" s="114"/>
      <c r="I311" s="114"/>
      <c r="J311" s="114"/>
      <c r="K311" s="115"/>
      <c r="L311" s="117"/>
      <c r="M311" s="114"/>
      <c r="N311" s="119"/>
      <c r="O311" s="119"/>
      <c r="P311" s="119"/>
    </row>
    <row r="312" spans="3:16" s="113" customFormat="1" ht="20.100000000000001" customHeight="1">
      <c r="C312" s="114"/>
      <c r="E312" s="116"/>
      <c r="F312" s="116"/>
      <c r="G312" s="116"/>
      <c r="H312" s="114"/>
      <c r="I312" s="114"/>
      <c r="J312" s="114"/>
      <c r="K312" s="115"/>
      <c r="L312" s="117"/>
      <c r="M312" s="114"/>
      <c r="N312" s="119"/>
      <c r="O312" s="119"/>
      <c r="P312" s="119"/>
    </row>
    <row r="313" spans="3:16" s="113" customFormat="1" ht="20.100000000000001" customHeight="1">
      <c r="C313" s="114"/>
      <c r="E313" s="116"/>
      <c r="F313" s="116"/>
      <c r="G313" s="116"/>
      <c r="H313" s="114"/>
      <c r="I313" s="114"/>
      <c r="J313" s="114"/>
      <c r="K313" s="115"/>
      <c r="L313" s="117"/>
      <c r="M313" s="114"/>
      <c r="N313" s="119"/>
      <c r="O313" s="119"/>
      <c r="P313" s="119"/>
    </row>
    <row r="314" spans="3:16" s="113" customFormat="1" ht="20.100000000000001" customHeight="1">
      <c r="C314" s="114"/>
      <c r="E314" s="116"/>
      <c r="F314" s="116"/>
      <c r="G314" s="116"/>
      <c r="H314" s="114"/>
      <c r="I314" s="114"/>
      <c r="J314" s="114"/>
      <c r="K314" s="115"/>
      <c r="L314" s="117"/>
      <c r="M314" s="114"/>
      <c r="N314" s="119"/>
      <c r="O314" s="119"/>
      <c r="P314" s="119"/>
    </row>
    <row r="315" spans="3:16" s="113" customFormat="1" ht="20.100000000000001" customHeight="1">
      <c r="C315" s="114"/>
      <c r="E315" s="116"/>
      <c r="F315" s="116"/>
      <c r="G315" s="116"/>
      <c r="H315" s="114"/>
      <c r="I315" s="114"/>
      <c r="J315" s="114"/>
      <c r="K315" s="115"/>
      <c r="L315" s="117"/>
      <c r="M315" s="114"/>
      <c r="N315" s="119"/>
      <c r="O315" s="119"/>
      <c r="P315" s="119"/>
    </row>
    <row r="316" spans="3:16" s="113" customFormat="1" ht="20.100000000000001" customHeight="1">
      <c r="C316" s="114"/>
      <c r="E316" s="116"/>
      <c r="F316" s="116"/>
      <c r="G316" s="116"/>
      <c r="H316" s="114"/>
      <c r="I316" s="114"/>
      <c r="J316" s="114"/>
      <c r="K316" s="115"/>
      <c r="L316" s="117"/>
      <c r="M316" s="114"/>
      <c r="N316" s="119"/>
      <c r="O316" s="119"/>
      <c r="P316" s="119"/>
    </row>
    <row r="317" spans="3:16" s="113" customFormat="1" ht="20.100000000000001" customHeight="1">
      <c r="C317" s="114"/>
      <c r="E317" s="116"/>
      <c r="F317" s="116"/>
      <c r="G317" s="116"/>
      <c r="H317" s="114"/>
      <c r="I317" s="114"/>
      <c r="J317" s="114"/>
      <c r="K317" s="115"/>
      <c r="L317" s="117"/>
      <c r="M317" s="114"/>
      <c r="N317" s="119"/>
      <c r="O317" s="119"/>
      <c r="P317" s="119"/>
    </row>
    <row r="318" spans="3:16" s="113" customFormat="1" ht="20.100000000000001" customHeight="1">
      <c r="C318" s="114"/>
      <c r="E318" s="116"/>
      <c r="F318" s="116"/>
      <c r="G318" s="116"/>
      <c r="H318" s="114"/>
      <c r="I318" s="114"/>
      <c r="J318" s="114"/>
      <c r="K318" s="115"/>
      <c r="L318" s="117"/>
      <c r="M318" s="114"/>
      <c r="N318" s="119"/>
      <c r="O318" s="119"/>
      <c r="P318" s="119"/>
    </row>
    <row r="319" spans="3:16" s="113" customFormat="1" ht="20.100000000000001" customHeight="1">
      <c r="C319" s="114"/>
      <c r="E319" s="116"/>
      <c r="F319" s="116"/>
      <c r="G319" s="116"/>
      <c r="H319" s="114"/>
      <c r="I319" s="114"/>
      <c r="J319" s="114"/>
      <c r="K319" s="115"/>
      <c r="L319" s="117"/>
      <c r="M319" s="114"/>
      <c r="N319" s="119"/>
      <c r="O319" s="119"/>
      <c r="P319" s="119"/>
    </row>
    <row r="320" spans="3:16" s="113" customFormat="1" ht="20.100000000000001" customHeight="1">
      <c r="C320" s="114"/>
      <c r="E320" s="116"/>
      <c r="F320" s="116"/>
      <c r="G320" s="116"/>
      <c r="H320" s="114"/>
      <c r="I320" s="114"/>
      <c r="J320" s="114"/>
      <c r="K320" s="115"/>
      <c r="L320" s="117"/>
      <c r="M320" s="114"/>
      <c r="N320" s="119"/>
      <c r="O320" s="119"/>
      <c r="P320" s="119"/>
    </row>
    <row r="321" spans="3:16" s="113" customFormat="1" ht="20.100000000000001" customHeight="1">
      <c r="C321" s="114"/>
      <c r="E321" s="116"/>
      <c r="F321" s="116"/>
      <c r="G321" s="116"/>
      <c r="H321" s="114"/>
      <c r="I321" s="114"/>
      <c r="J321" s="114"/>
      <c r="K321" s="115"/>
      <c r="L321" s="117"/>
      <c r="M321" s="114"/>
      <c r="N321" s="119"/>
      <c r="O321" s="119"/>
      <c r="P321" s="119"/>
    </row>
    <row r="322" spans="3:16" s="113" customFormat="1" ht="20.100000000000001" customHeight="1">
      <c r="C322" s="114"/>
      <c r="E322" s="116"/>
      <c r="F322" s="116"/>
      <c r="G322" s="116"/>
      <c r="H322" s="114"/>
      <c r="I322" s="114"/>
      <c r="J322" s="114"/>
      <c r="K322" s="115"/>
      <c r="L322" s="117"/>
      <c r="M322" s="114"/>
      <c r="N322" s="119"/>
      <c r="O322" s="119"/>
      <c r="P322" s="119"/>
    </row>
    <row r="323" spans="3:16" s="113" customFormat="1" ht="20.100000000000001" customHeight="1">
      <c r="C323" s="114"/>
      <c r="E323" s="116"/>
      <c r="F323" s="116"/>
      <c r="G323" s="116"/>
      <c r="H323" s="114"/>
      <c r="I323" s="114"/>
      <c r="J323" s="114"/>
      <c r="K323" s="115"/>
      <c r="L323" s="117"/>
      <c r="M323" s="114"/>
      <c r="N323" s="119"/>
      <c r="O323" s="119"/>
      <c r="P323" s="119"/>
    </row>
    <row r="324" spans="3:16" s="113" customFormat="1" ht="20.100000000000001" customHeight="1">
      <c r="C324" s="114"/>
      <c r="E324" s="116"/>
      <c r="F324" s="116"/>
      <c r="G324" s="116"/>
      <c r="H324" s="114"/>
      <c r="I324" s="114"/>
      <c r="J324" s="114"/>
      <c r="K324" s="115"/>
      <c r="L324" s="117"/>
      <c r="M324" s="114"/>
      <c r="N324" s="119"/>
      <c r="O324" s="119"/>
      <c r="P324" s="119"/>
    </row>
    <row r="325" spans="3:16" s="113" customFormat="1" ht="20.100000000000001" customHeight="1">
      <c r="C325" s="114"/>
      <c r="E325" s="116"/>
      <c r="F325" s="116"/>
      <c r="G325" s="116"/>
      <c r="H325" s="114"/>
      <c r="I325" s="114"/>
      <c r="J325" s="114"/>
      <c r="K325" s="115"/>
      <c r="L325" s="117"/>
      <c r="M325" s="114"/>
      <c r="N325" s="119"/>
      <c r="O325" s="119"/>
      <c r="P325" s="119"/>
    </row>
    <row r="326" spans="3:16" s="113" customFormat="1" ht="20.100000000000001" customHeight="1">
      <c r="C326" s="114"/>
      <c r="E326" s="116"/>
      <c r="F326" s="116"/>
      <c r="G326" s="116"/>
      <c r="H326" s="114"/>
      <c r="I326" s="114"/>
      <c r="J326" s="114"/>
      <c r="K326" s="115"/>
      <c r="L326" s="117"/>
      <c r="M326" s="114"/>
      <c r="N326" s="119"/>
      <c r="O326" s="119"/>
      <c r="P326" s="119"/>
    </row>
    <row r="327" spans="3:16" s="113" customFormat="1" ht="20.100000000000001" customHeight="1">
      <c r="C327" s="114"/>
      <c r="E327" s="116"/>
      <c r="F327" s="116"/>
      <c r="G327" s="116"/>
      <c r="H327" s="114"/>
      <c r="I327" s="114"/>
      <c r="J327" s="114"/>
      <c r="K327" s="115"/>
      <c r="L327" s="117"/>
      <c r="M327" s="114"/>
      <c r="N327" s="119"/>
      <c r="O327" s="119"/>
      <c r="P327" s="119"/>
    </row>
    <row r="328" spans="3:16" s="113" customFormat="1" ht="20.100000000000001" customHeight="1">
      <c r="C328" s="114"/>
      <c r="E328" s="116"/>
      <c r="F328" s="116"/>
      <c r="G328" s="116"/>
      <c r="H328" s="114"/>
      <c r="I328" s="114"/>
      <c r="J328" s="114"/>
      <c r="K328" s="115"/>
      <c r="L328" s="117"/>
      <c r="M328" s="114"/>
      <c r="N328" s="119"/>
      <c r="O328" s="119"/>
      <c r="P328" s="119"/>
    </row>
    <row r="329" spans="3:16" s="113" customFormat="1" ht="20.100000000000001" customHeight="1">
      <c r="C329" s="114"/>
      <c r="E329" s="116"/>
      <c r="F329" s="116"/>
      <c r="G329" s="116"/>
      <c r="H329" s="114"/>
      <c r="I329" s="114"/>
      <c r="J329" s="114"/>
      <c r="K329" s="115"/>
      <c r="L329" s="117"/>
      <c r="M329" s="114"/>
      <c r="N329" s="119"/>
      <c r="O329" s="119"/>
      <c r="P329" s="119"/>
    </row>
    <row r="330" spans="3:16" s="113" customFormat="1" ht="20.100000000000001" customHeight="1">
      <c r="C330" s="114"/>
      <c r="E330" s="116"/>
      <c r="F330" s="116"/>
      <c r="G330" s="116"/>
      <c r="H330" s="114"/>
      <c r="I330" s="114"/>
      <c r="J330" s="114"/>
      <c r="K330" s="115"/>
      <c r="L330" s="117"/>
      <c r="M330" s="114"/>
      <c r="N330" s="119"/>
      <c r="O330" s="119"/>
      <c r="P330" s="119"/>
    </row>
    <row r="331" spans="3:16" s="113" customFormat="1" ht="20.100000000000001" customHeight="1">
      <c r="C331" s="114"/>
      <c r="E331" s="116"/>
      <c r="F331" s="116"/>
      <c r="G331" s="116"/>
      <c r="H331" s="114"/>
      <c r="I331" s="114"/>
      <c r="J331" s="114"/>
      <c r="K331" s="115"/>
      <c r="L331" s="117"/>
      <c r="M331" s="114"/>
      <c r="N331" s="119"/>
      <c r="O331" s="119"/>
      <c r="P331" s="119"/>
    </row>
    <row r="332" spans="3:16" s="113" customFormat="1" ht="20.100000000000001" customHeight="1">
      <c r="C332" s="114"/>
      <c r="E332" s="116"/>
      <c r="F332" s="116"/>
      <c r="G332" s="116"/>
      <c r="H332" s="114"/>
      <c r="I332" s="114"/>
      <c r="J332" s="114"/>
      <c r="K332" s="115"/>
      <c r="L332" s="117"/>
      <c r="M332" s="114"/>
      <c r="N332" s="119"/>
      <c r="O332" s="119"/>
      <c r="P332" s="119"/>
    </row>
    <row r="333" spans="3:16" s="113" customFormat="1" ht="20.100000000000001" customHeight="1">
      <c r="C333" s="114"/>
      <c r="E333" s="116"/>
      <c r="F333" s="116"/>
      <c r="G333" s="116"/>
      <c r="H333" s="114"/>
      <c r="I333" s="114"/>
      <c r="J333" s="114"/>
      <c r="K333" s="115"/>
      <c r="L333" s="117"/>
      <c r="M333" s="114"/>
      <c r="N333" s="119"/>
      <c r="O333" s="119"/>
      <c r="P333" s="119"/>
    </row>
    <row r="334" spans="3:16" s="113" customFormat="1" ht="20.100000000000001" customHeight="1">
      <c r="C334" s="114"/>
      <c r="E334" s="116"/>
      <c r="F334" s="116"/>
      <c r="G334" s="116"/>
      <c r="H334" s="114"/>
      <c r="I334" s="114"/>
      <c r="J334" s="114"/>
      <c r="K334" s="115"/>
      <c r="L334" s="117"/>
      <c r="M334" s="114"/>
      <c r="N334" s="119"/>
      <c r="O334" s="119"/>
      <c r="P334" s="119"/>
    </row>
    <row r="335" spans="3:16" s="113" customFormat="1" ht="20.100000000000001" customHeight="1">
      <c r="C335" s="114"/>
      <c r="E335" s="116"/>
      <c r="F335" s="116"/>
      <c r="G335" s="116"/>
      <c r="H335" s="114"/>
      <c r="I335" s="114"/>
      <c r="J335" s="114"/>
      <c r="K335" s="115"/>
      <c r="L335" s="117"/>
      <c r="M335" s="114"/>
      <c r="N335" s="119"/>
      <c r="O335" s="119"/>
      <c r="P335" s="119"/>
    </row>
    <row r="336" spans="3:16" s="113" customFormat="1" ht="20.100000000000001" customHeight="1">
      <c r="C336" s="114"/>
      <c r="E336" s="116"/>
      <c r="F336" s="116"/>
      <c r="G336" s="116"/>
      <c r="H336" s="114"/>
      <c r="I336" s="114"/>
      <c r="J336" s="114"/>
      <c r="K336" s="115"/>
      <c r="L336" s="117"/>
      <c r="M336" s="114"/>
      <c r="N336" s="119"/>
      <c r="O336" s="119"/>
      <c r="P336" s="119"/>
    </row>
    <row r="337" spans="3:16" s="113" customFormat="1" ht="20.100000000000001" customHeight="1">
      <c r="C337" s="114"/>
      <c r="E337" s="116"/>
      <c r="F337" s="116"/>
      <c r="G337" s="116"/>
      <c r="H337" s="114"/>
      <c r="I337" s="114"/>
      <c r="J337" s="114"/>
      <c r="K337" s="115"/>
      <c r="L337" s="117"/>
      <c r="M337" s="114"/>
      <c r="N337" s="119"/>
      <c r="O337" s="119"/>
      <c r="P337" s="119"/>
    </row>
    <row r="338" spans="3:16" s="113" customFormat="1" ht="20.100000000000001" customHeight="1">
      <c r="C338" s="114"/>
      <c r="E338" s="116"/>
      <c r="F338" s="116"/>
      <c r="G338" s="116"/>
      <c r="H338" s="114"/>
      <c r="I338" s="114"/>
      <c r="J338" s="114"/>
      <c r="K338" s="115"/>
      <c r="L338" s="117"/>
      <c r="M338" s="114"/>
      <c r="N338" s="119"/>
      <c r="O338" s="119"/>
      <c r="P338" s="119"/>
    </row>
    <row r="339" spans="3:16" s="113" customFormat="1" ht="20.100000000000001" customHeight="1">
      <c r="C339" s="114"/>
      <c r="E339" s="116"/>
      <c r="F339" s="116"/>
      <c r="G339" s="116"/>
      <c r="H339" s="114"/>
      <c r="I339" s="114"/>
      <c r="J339" s="114"/>
      <c r="K339" s="115"/>
      <c r="L339" s="117"/>
      <c r="M339" s="114"/>
      <c r="N339" s="119"/>
      <c r="O339" s="119"/>
      <c r="P339" s="119"/>
    </row>
    <row r="340" spans="3:16" s="113" customFormat="1" ht="20.100000000000001" customHeight="1">
      <c r="C340" s="114"/>
      <c r="E340" s="116"/>
      <c r="F340" s="116"/>
      <c r="G340" s="116"/>
      <c r="H340" s="114"/>
      <c r="I340" s="114"/>
      <c r="J340" s="114"/>
      <c r="K340" s="115"/>
      <c r="L340" s="117"/>
      <c r="M340" s="114"/>
      <c r="N340" s="119"/>
      <c r="O340" s="119"/>
      <c r="P340" s="119"/>
    </row>
    <row r="341" spans="3:16" s="113" customFormat="1" ht="20.100000000000001" customHeight="1">
      <c r="C341" s="114"/>
      <c r="E341" s="116"/>
      <c r="F341" s="116"/>
      <c r="G341" s="116"/>
      <c r="H341" s="114"/>
      <c r="I341" s="114"/>
      <c r="J341" s="114"/>
      <c r="K341" s="115"/>
      <c r="L341" s="117"/>
      <c r="M341" s="114"/>
      <c r="N341" s="119"/>
      <c r="O341" s="119"/>
      <c r="P341" s="119"/>
    </row>
    <row r="342" spans="3:16" s="113" customFormat="1" ht="20.100000000000001" customHeight="1">
      <c r="C342" s="114"/>
      <c r="E342" s="116"/>
      <c r="F342" s="116"/>
      <c r="G342" s="116"/>
      <c r="H342" s="114"/>
      <c r="I342" s="114"/>
      <c r="J342" s="114"/>
      <c r="K342" s="115"/>
      <c r="L342" s="117"/>
      <c r="M342" s="114"/>
      <c r="N342" s="119"/>
      <c r="O342" s="119"/>
      <c r="P342" s="119"/>
    </row>
    <row r="343" spans="3:16" s="113" customFormat="1" ht="20.100000000000001" customHeight="1">
      <c r="C343" s="114"/>
      <c r="E343" s="116"/>
      <c r="F343" s="116"/>
      <c r="G343" s="116"/>
      <c r="H343" s="114"/>
      <c r="I343" s="114"/>
      <c r="J343" s="114"/>
      <c r="K343" s="115"/>
      <c r="L343" s="117"/>
      <c r="M343" s="114"/>
      <c r="N343" s="119"/>
      <c r="O343" s="119"/>
      <c r="P343" s="119"/>
    </row>
    <row r="344" spans="3:16" s="113" customFormat="1" ht="20.100000000000001" customHeight="1">
      <c r="C344" s="114"/>
      <c r="E344" s="116"/>
      <c r="F344" s="116"/>
      <c r="G344" s="116"/>
      <c r="H344" s="114"/>
      <c r="I344" s="114"/>
      <c r="J344" s="114"/>
      <c r="K344" s="115"/>
      <c r="L344" s="117"/>
      <c r="M344" s="114"/>
      <c r="N344" s="119"/>
      <c r="O344" s="119"/>
      <c r="P344" s="119"/>
    </row>
    <row r="345" spans="3:16" s="113" customFormat="1" ht="20.100000000000001" customHeight="1">
      <c r="C345" s="114"/>
      <c r="E345" s="116"/>
      <c r="F345" s="116"/>
      <c r="G345" s="116"/>
      <c r="H345" s="114"/>
      <c r="I345" s="114"/>
      <c r="J345" s="114"/>
      <c r="K345" s="115"/>
      <c r="L345" s="117"/>
      <c r="M345" s="114"/>
      <c r="N345" s="119"/>
      <c r="O345" s="119"/>
      <c r="P345" s="119"/>
    </row>
    <row r="346" spans="3:16" s="113" customFormat="1" ht="20.100000000000001" customHeight="1">
      <c r="C346" s="114"/>
      <c r="E346" s="116"/>
      <c r="F346" s="116"/>
      <c r="G346" s="116"/>
      <c r="H346" s="114"/>
      <c r="I346" s="114"/>
      <c r="J346" s="114"/>
      <c r="K346" s="115"/>
      <c r="L346" s="117"/>
      <c r="M346" s="114"/>
      <c r="N346" s="119"/>
      <c r="O346" s="119"/>
      <c r="P346" s="119"/>
    </row>
    <row r="347" spans="3:16" s="113" customFormat="1" ht="20.100000000000001" customHeight="1">
      <c r="C347" s="114"/>
      <c r="E347" s="116"/>
      <c r="F347" s="116"/>
      <c r="G347" s="116"/>
      <c r="H347" s="114"/>
      <c r="I347" s="114"/>
      <c r="J347" s="114"/>
      <c r="K347" s="115"/>
      <c r="L347" s="117"/>
      <c r="M347" s="114"/>
      <c r="N347" s="119"/>
      <c r="O347" s="119"/>
      <c r="P347" s="119"/>
    </row>
    <row r="348" spans="3:16" s="113" customFormat="1" ht="20.100000000000001" customHeight="1">
      <c r="C348" s="114"/>
      <c r="E348" s="116"/>
      <c r="F348" s="116"/>
      <c r="G348" s="116"/>
      <c r="H348" s="114"/>
      <c r="I348" s="114"/>
      <c r="J348" s="114"/>
      <c r="K348" s="115"/>
      <c r="L348" s="117"/>
      <c r="M348" s="114"/>
      <c r="N348" s="119"/>
      <c r="O348" s="119"/>
      <c r="P348" s="119"/>
    </row>
    <row r="349" spans="3:16" s="113" customFormat="1" ht="20.100000000000001" customHeight="1">
      <c r="C349" s="114"/>
      <c r="E349" s="116"/>
      <c r="F349" s="116"/>
      <c r="G349" s="116"/>
      <c r="H349" s="114"/>
      <c r="I349" s="114"/>
      <c r="J349" s="114"/>
      <c r="K349" s="115"/>
      <c r="L349" s="117"/>
      <c r="M349" s="114"/>
      <c r="N349" s="119"/>
      <c r="O349" s="119"/>
      <c r="P349" s="119"/>
    </row>
    <row r="350" spans="3:16" s="113" customFormat="1" ht="20.100000000000001" customHeight="1">
      <c r="C350" s="114"/>
      <c r="E350" s="116"/>
      <c r="F350" s="116"/>
      <c r="G350" s="116"/>
      <c r="H350" s="114"/>
      <c r="I350" s="114"/>
      <c r="J350" s="114"/>
      <c r="K350" s="115"/>
      <c r="L350" s="117"/>
      <c r="M350" s="114"/>
      <c r="N350" s="119"/>
      <c r="O350" s="119"/>
      <c r="P350" s="119"/>
    </row>
    <row r="351" spans="3:16" s="113" customFormat="1" ht="20.100000000000001" customHeight="1">
      <c r="C351" s="114"/>
      <c r="E351" s="116"/>
      <c r="F351" s="116"/>
      <c r="G351" s="116"/>
      <c r="H351" s="114"/>
      <c r="I351" s="114"/>
      <c r="J351" s="114"/>
      <c r="K351" s="115"/>
      <c r="L351" s="117"/>
      <c r="M351" s="114"/>
      <c r="N351" s="119"/>
      <c r="O351" s="119"/>
      <c r="P351" s="119"/>
    </row>
    <row r="352" spans="3:16" s="113" customFormat="1" ht="20.100000000000001" customHeight="1">
      <c r="C352" s="114"/>
      <c r="E352" s="116"/>
      <c r="F352" s="116"/>
      <c r="G352" s="116"/>
      <c r="H352" s="114"/>
      <c r="I352" s="114"/>
      <c r="J352" s="114"/>
      <c r="K352" s="115"/>
      <c r="L352" s="117"/>
      <c r="M352" s="114"/>
      <c r="N352" s="119"/>
      <c r="O352" s="119"/>
      <c r="P352" s="119"/>
    </row>
    <row r="353" spans="3:16" s="113" customFormat="1" ht="20.100000000000001" customHeight="1">
      <c r="C353" s="114"/>
      <c r="E353" s="116"/>
      <c r="F353" s="116"/>
      <c r="G353" s="116"/>
      <c r="H353" s="114"/>
      <c r="I353" s="114"/>
      <c r="J353" s="114"/>
      <c r="K353" s="115"/>
      <c r="L353" s="117"/>
      <c r="M353" s="114"/>
      <c r="N353" s="119"/>
      <c r="O353" s="119"/>
      <c r="P353" s="119"/>
    </row>
    <row r="354" spans="3:16" s="113" customFormat="1" ht="20.100000000000001" customHeight="1">
      <c r="C354" s="114"/>
      <c r="E354" s="116"/>
      <c r="F354" s="116"/>
      <c r="G354" s="116"/>
      <c r="H354" s="114"/>
      <c r="I354" s="114"/>
      <c r="J354" s="114"/>
      <c r="K354" s="115"/>
      <c r="L354" s="117"/>
      <c r="M354" s="114"/>
      <c r="N354" s="119"/>
      <c r="O354" s="119"/>
      <c r="P354" s="119"/>
    </row>
    <row r="355" spans="3:16" s="113" customFormat="1" ht="20.100000000000001" customHeight="1">
      <c r="C355" s="114"/>
      <c r="E355" s="116"/>
      <c r="F355" s="116"/>
      <c r="G355" s="116"/>
      <c r="H355" s="114"/>
      <c r="I355" s="114"/>
      <c r="J355" s="114"/>
      <c r="K355" s="115"/>
      <c r="L355" s="117"/>
      <c r="M355" s="114"/>
      <c r="N355" s="119"/>
      <c r="O355" s="119"/>
      <c r="P355" s="119"/>
    </row>
    <row r="356" spans="3:16" s="113" customFormat="1" ht="20.100000000000001" customHeight="1">
      <c r="C356" s="114"/>
      <c r="E356" s="116"/>
      <c r="F356" s="116"/>
      <c r="G356" s="116"/>
      <c r="H356" s="114"/>
      <c r="I356" s="114"/>
      <c r="J356" s="114"/>
      <c r="K356" s="115"/>
      <c r="L356" s="117"/>
      <c r="M356" s="114"/>
      <c r="N356" s="119"/>
      <c r="O356" s="119"/>
      <c r="P356" s="119"/>
    </row>
    <row r="357" spans="3:16" s="113" customFormat="1" ht="20.100000000000001" customHeight="1">
      <c r="C357" s="114"/>
      <c r="E357" s="116"/>
      <c r="F357" s="116"/>
      <c r="G357" s="116"/>
      <c r="H357" s="114"/>
      <c r="I357" s="114"/>
      <c r="J357" s="114"/>
      <c r="K357" s="115"/>
      <c r="L357" s="117"/>
      <c r="M357" s="114"/>
      <c r="N357" s="119"/>
      <c r="O357" s="119"/>
      <c r="P357" s="119"/>
    </row>
    <row r="358" spans="3:16" s="113" customFormat="1" ht="20.100000000000001" customHeight="1">
      <c r="C358" s="114"/>
      <c r="E358" s="116"/>
      <c r="F358" s="116"/>
      <c r="G358" s="116"/>
      <c r="H358" s="114"/>
      <c r="I358" s="114"/>
      <c r="J358" s="114"/>
      <c r="K358" s="115"/>
      <c r="L358" s="117"/>
      <c r="M358" s="114"/>
      <c r="N358" s="119"/>
      <c r="O358" s="119"/>
      <c r="P358" s="119"/>
    </row>
    <row r="359" spans="3:16" s="113" customFormat="1" ht="20.100000000000001" customHeight="1">
      <c r="C359" s="114"/>
      <c r="E359" s="116"/>
      <c r="F359" s="116"/>
      <c r="G359" s="116"/>
      <c r="H359" s="114"/>
      <c r="I359" s="114"/>
      <c r="J359" s="114"/>
      <c r="K359" s="115"/>
      <c r="L359" s="117"/>
      <c r="M359" s="114"/>
      <c r="N359" s="119"/>
      <c r="O359" s="119"/>
      <c r="P359" s="119"/>
    </row>
    <row r="360" spans="3:16" s="113" customFormat="1" ht="20.100000000000001" customHeight="1">
      <c r="C360" s="114"/>
      <c r="E360" s="116"/>
      <c r="F360" s="116"/>
      <c r="G360" s="116"/>
      <c r="H360" s="114"/>
      <c r="I360" s="114"/>
      <c r="J360" s="114"/>
      <c r="K360" s="115"/>
      <c r="L360" s="117"/>
      <c r="M360" s="114"/>
      <c r="N360" s="119"/>
      <c r="O360" s="119"/>
      <c r="P360" s="119"/>
    </row>
    <row r="361" spans="3:16" s="113" customFormat="1" ht="20.100000000000001" customHeight="1">
      <c r="C361" s="114"/>
      <c r="E361" s="116"/>
      <c r="F361" s="116"/>
      <c r="G361" s="116"/>
      <c r="H361" s="114"/>
      <c r="I361" s="114"/>
      <c r="J361" s="114"/>
      <c r="K361" s="115"/>
      <c r="L361" s="117"/>
      <c r="M361" s="114"/>
      <c r="N361" s="119"/>
      <c r="O361" s="119"/>
      <c r="P361" s="119"/>
    </row>
    <row r="362" spans="3:16" s="113" customFormat="1" ht="20.100000000000001" customHeight="1">
      <c r="C362" s="114"/>
      <c r="E362" s="116"/>
      <c r="F362" s="116"/>
      <c r="G362" s="116"/>
      <c r="H362" s="114"/>
      <c r="I362" s="114"/>
      <c r="J362" s="114"/>
      <c r="K362" s="115"/>
      <c r="L362" s="117"/>
      <c r="M362" s="114"/>
      <c r="N362" s="119"/>
      <c r="O362" s="119"/>
      <c r="P362" s="119"/>
    </row>
    <row r="363" spans="3:16" s="113" customFormat="1" ht="20.100000000000001" customHeight="1">
      <c r="C363" s="114"/>
      <c r="E363" s="116"/>
      <c r="F363" s="116"/>
      <c r="G363" s="116"/>
      <c r="H363" s="114"/>
      <c r="I363" s="114"/>
      <c r="J363" s="114"/>
      <c r="K363" s="115"/>
      <c r="L363" s="117"/>
      <c r="M363" s="114"/>
      <c r="N363" s="119"/>
      <c r="O363" s="119"/>
      <c r="P363" s="119"/>
    </row>
    <row r="364" spans="3:16" s="113" customFormat="1" ht="20.100000000000001" customHeight="1">
      <c r="C364" s="114"/>
      <c r="E364" s="116"/>
      <c r="F364" s="116"/>
      <c r="G364" s="116"/>
      <c r="H364" s="114"/>
      <c r="I364" s="114"/>
      <c r="J364" s="114"/>
      <c r="K364" s="115"/>
      <c r="L364" s="117"/>
      <c r="M364" s="114"/>
      <c r="N364" s="119"/>
      <c r="O364" s="119"/>
      <c r="P364" s="119"/>
    </row>
    <row r="365" spans="3:16" s="113" customFormat="1" ht="20.100000000000001" customHeight="1">
      <c r="C365" s="114"/>
      <c r="E365" s="116"/>
      <c r="F365" s="116"/>
      <c r="G365" s="116"/>
      <c r="H365" s="114"/>
      <c r="I365" s="114"/>
      <c r="J365" s="114"/>
      <c r="K365" s="115"/>
      <c r="L365" s="117"/>
      <c r="M365" s="114"/>
      <c r="N365" s="119"/>
      <c r="O365" s="119"/>
      <c r="P365" s="119"/>
    </row>
    <row r="366" spans="3:16" s="113" customFormat="1" ht="20.100000000000001" customHeight="1">
      <c r="C366" s="114"/>
      <c r="E366" s="116"/>
      <c r="F366" s="116"/>
      <c r="G366" s="116"/>
      <c r="H366" s="114"/>
      <c r="I366" s="114"/>
      <c r="J366" s="114"/>
      <c r="K366" s="115"/>
      <c r="L366" s="117"/>
      <c r="M366" s="114"/>
      <c r="N366" s="119"/>
      <c r="O366" s="119"/>
      <c r="P366" s="119"/>
    </row>
    <row r="367" spans="3:16" s="113" customFormat="1" ht="20.100000000000001" customHeight="1">
      <c r="C367" s="114"/>
      <c r="E367" s="116"/>
      <c r="F367" s="116"/>
      <c r="G367" s="116"/>
      <c r="H367" s="114"/>
      <c r="I367" s="114"/>
      <c r="J367" s="114"/>
      <c r="K367" s="115"/>
      <c r="L367" s="117"/>
      <c r="M367" s="114"/>
      <c r="N367" s="119"/>
      <c r="O367" s="119"/>
      <c r="P367" s="119"/>
    </row>
    <row r="368" spans="3:16" s="113" customFormat="1" ht="20.100000000000001" customHeight="1">
      <c r="C368" s="114"/>
      <c r="E368" s="116"/>
      <c r="F368" s="116"/>
      <c r="G368" s="116"/>
      <c r="H368" s="114"/>
      <c r="I368" s="114"/>
      <c r="J368" s="114"/>
      <c r="K368" s="115"/>
      <c r="L368" s="117"/>
      <c r="M368" s="114"/>
      <c r="N368" s="119"/>
      <c r="O368" s="119"/>
      <c r="P368" s="119"/>
    </row>
    <row r="369" spans="3:16" s="113" customFormat="1" ht="20.100000000000001" customHeight="1">
      <c r="C369" s="114"/>
      <c r="E369" s="116"/>
      <c r="F369" s="116"/>
      <c r="G369" s="116"/>
      <c r="H369" s="114"/>
      <c r="I369" s="114"/>
      <c r="J369" s="114"/>
      <c r="K369" s="115"/>
      <c r="L369" s="117"/>
      <c r="M369" s="114"/>
      <c r="N369" s="119"/>
      <c r="O369" s="119"/>
      <c r="P369" s="119"/>
    </row>
    <row r="370" spans="3:16" s="113" customFormat="1" ht="20.100000000000001" customHeight="1">
      <c r="C370" s="114"/>
      <c r="E370" s="116"/>
      <c r="F370" s="116"/>
      <c r="G370" s="116"/>
      <c r="H370" s="114"/>
      <c r="I370" s="114"/>
      <c r="J370" s="114"/>
      <c r="K370" s="115"/>
      <c r="L370" s="117"/>
      <c r="M370" s="114"/>
      <c r="N370" s="119"/>
      <c r="O370" s="119"/>
      <c r="P370" s="119"/>
    </row>
    <row r="371" spans="3:16" s="113" customFormat="1" ht="20.100000000000001" customHeight="1">
      <c r="C371" s="114"/>
      <c r="E371" s="116"/>
      <c r="F371" s="116"/>
      <c r="G371" s="116"/>
      <c r="H371" s="114"/>
      <c r="I371" s="114"/>
      <c r="J371" s="114"/>
      <c r="K371" s="115"/>
      <c r="L371" s="117"/>
      <c r="M371" s="114"/>
      <c r="N371" s="119"/>
      <c r="O371" s="119"/>
      <c r="P371" s="119"/>
    </row>
    <row r="372" spans="3:16" s="113" customFormat="1" ht="20.100000000000001" customHeight="1">
      <c r="C372" s="114"/>
      <c r="E372" s="116"/>
      <c r="F372" s="116"/>
      <c r="G372" s="116"/>
      <c r="H372" s="114"/>
      <c r="I372" s="114"/>
      <c r="J372" s="114"/>
      <c r="K372" s="115"/>
      <c r="L372" s="117"/>
      <c r="M372" s="114"/>
      <c r="N372" s="119"/>
      <c r="O372" s="119"/>
      <c r="P372" s="119"/>
    </row>
    <row r="373" spans="3:16" s="113" customFormat="1" ht="20.100000000000001" customHeight="1">
      <c r="C373" s="114"/>
      <c r="E373" s="116"/>
      <c r="F373" s="116"/>
      <c r="G373" s="116"/>
      <c r="H373" s="114"/>
      <c r="I373" s="114"/>
      <c r="J373" s="114"/>
      <c r="K373" s="115"/>
      <c r="L373" s="117"/>
      <c r="M373" s="114"/>
      <c r="N373" s="119"/>
      <c r="O373" s="119"/>
      <c r="P373" s="119"/>
    </row>
    <row r="374" spans="3:16" s="113" customFormat="1" ht="20.100000000000001" customHeight="1">
      <c r="C374" s="114"/>
      <c r="E374" s="116"/>
      <c r="F374" s="116"/>
      <c r="G374" s="116"/>
      <c r="H374" s="114"/>
      <c r="I374" s="114"/>
      <c r="J374" s="114"/>
      <c r="K374" s="115"/>
      <c r="L374" s="117"/>
      <c r="M374" s="114"/>
      <c r="N374" s="119"/>
      <c r="O374" s="119"/>
      <c r="P374" s="119"/>
    </row>
    <row r="375" spans="3:16" s="113" customFormat="1" ht="20.100000000000001" customHeight="1">
      <c r="C375" s="114"/>
      <c r="E375" s="116"/>
      <c r="F375" s="116"/>
      <c r="G375" s="116"/>
      <c r="H375" s="114"/>
      <c r="I375" s="114"/>
      <c r="J375" s="114"/>
      <c r="K375" s="115"/>
      <c r="L375" s="117"/>
      <c r="M375" s="114"/>
      <c r="N375" s="119"/>
      <c r="O375" s="119"/>
      <c r="P375" s="119"/>
    </row>
    <row r="376" spans="3:16" s="113" customFormat="1" ht="20.100000000000001" customHeight="1">
      <c r="C376" s="114"/>
      <c r="E376" s="116"/>
      <c r="F376" s="116"/>
      <c r="G376" s="116"/>
      <c r="H376" s="114"/>
      <c r="I376" s="114"/>
      <c r="J376" s="114"/>
      <c r="K376" s="115"/>
      <c r="L376" s="117"/>
      <c r="M376" s="114"/>
      <c r="N376" s="119"/>
      <c r="O376" s="119"/>
      <c r="P376" s="119"/>
    </row>
    <row r="377" spans="3:16" s="113" customFormat="1" ht="20.100000000000001" customHeight="1">
      <c r="C377" s="114"/>
      <c r="E377" s="116"/>
      <c r="F377" s="116"/>
      <c r="G377" s="116"/>
      <c r="H377" s="114"/>
      <c r="I377" s="114"/>
      <c r="J377" s="114"/>
      <c r="K377" s="115"/>
      <c r="L377" s="117"/>
      <c r="M377" s="114"/>
      <c r="N377" s="119"/>
      <c r="O377" s="119"/>
      <c r="P377" s="119"/>
    </row>
    <row r="378" spans="3:16" s="113" customFormat="1" ht="20.100000000000001" customHeight="1">
      <c r="C378" s="114"/>
      <c r="E378" s="116"/>
      <c r="F378" s="116"/>
      <c r="G378" s="116"/>
      <c r="H378" s="114"/>
      <c r="I378" s="114"/>
      <c r="J378" s="114"/>
      <c r="K378" s="115"/>
      <c r="L378" s="117"/>
      <c r="M378" s="114"/>
      <c r="N378" s="119"/>
      <c r="O378" s="119"/>
      <c r="P378" s="119"/>
    </row>
    <row r="379" spans="3:16" s="113" customFormat="1" ht="20.100000000000001" customHeight="1">
      <c r="C379" s="114"/>
      <c r="E379" s="116"/>
      <c r="F379" s="116"/>
      <c r="G379" s="116"/>
      <c r="H379" s="114"/>
      <c r="I379" s="114"/>
      <c r="J379" s="114"/>
      <c r="K379" s="115"/>
      <c r="L379" s="117"/>
      <c r="M379" s="114"/>
      <c r="N379" s="119"/>
      <c r="O379" s="119"/>
      <c r="P379" s="119"/>
    </row>
    <row r="380" spans="3:16" s="113" customFormat="1" ht="20.100000000000001" customHeight="1">
      <c r="C380" s="114"/>
      <c r="E380" s="116"/>
      <c r="F380" s="116"/>
      <c r="G380" s="116"/>
      <c r="H380" s="114"/>
      <c r="I380" s="114"/>
      <c r="J380" s="114"/>
      <c r="K380" s="115"/>
      <c r="L380" s="117"/>
      <c r="M380" s="114"/>
      <c r="N380" s="119"/>
      <c r="O380" s="119"/>
      <c r="P380" s="119"/>
    </row>
    <row r="381" spans="3:16" s="113" customFormat="1" ht="20.100000000000001" customHeight="1">
      <c r="C381" s="114"/>
      <c r="E381" s="116"/>
      <c r="F381" s="116"/>
      <c r="G381" s="116"/>
      <c r="H381" s="114"/>
      <c r="I381" s="114"/>
      <c r="J381" s="114"/>
      <c r="K381" s="115"/>
      <c r="L381" s="117"/>
      <c r="M381" s="114"/>
      <c r="N381" s="119"/>
      <c r="O381" s="119"/>
      <c r="P381" s="119"/>
    </row>
    <row r="382" spans="3:16" s="113" customFormat="1" ht="20.100000000000001" customHeight="1">
      <c r="C382" s="114"/>
      <c r="E382" s="116"/>
      <c r="F382" s="116"/>
      <c r="G382" s="116"/>
      <c r="H382" s="114"/>
      <c r="I382" s="114"/>
      <c r="J382" s="114"/>
      <c r="K382" s="115"/>
      <c r="L382" s="117"/>
      <c r="M382" s="114"/>
      <c r="N382" s="119"/>
      <c r="O382" s="119"/>
      <c r="P382" s="119"/>
    </row>
    <row r="383" spans="3:16" s="113" customFormat="1" ht="20.100000000000001" customHeight="1">
      <c r="C383" s="114"/>
      <c r="E383" s="116"/>
      <c r="F383" s="116"/>
      <c r="G383" s="116"/>
      <c r="H383" s="114"/>
      <c r="I383" s="114"/>
      <c r="J383" s="114"/>
      <c r="K383" s="115"/>
      <c r="L383" s="117"/>
      <c r="M383" s="114"/>
      <c r="N383" s="119"/>
      <c r="O383" s="119"/>
      <c r="P383" s="119"/>
    </row>
    <row r="384" spans="3:16" s="113" customFormat="1" ht="20.100000000000001" customHeight="1">
      <c r="C384" s="114"/>
      <c r="E384" s="116"/>
      <c r="F384" s="116"/>
      <c r="G384" s="116"/>
      <c r="H384" s="114"/>
      <c r="I384" s="114"/>
      <c r="J384" s="114"/>
      <c r="K384" s="115"/>
      <c r="L384" s="117"/>
      <c r="M384" s="114"/>
      <c r="N384" s="119"/>
      <c r="O384" s="119"/>
      <c r="P384" s="119"/>
    </row>
    <row r="385" spans="3:16" s="113" customFormat="1" ht="20.100000000000001" customHeight="1">
      <c r="C385" s="114"/>
      <c r="E385" s="116"/>
      <c r="F385" s="116"/>
      <c r="G385" s="116"/>
      <c r="H385" s="114"/>
      <c r="I385" s="114"/>
      <c r="J385" s="114"/>
      <c r="K385" s="115"/>
      <c r="L385" s="117"/>
      <c r="M385" s="114"/>
      <c r="N385" s="119"/>
      <c r="O385" s="119"/>
      <c r="P385" s="119"/>
    </row>
    <row r="386" spans="3:16" s="113" customFormat="1" ht="20.100000000000001" customHeight="1">
      <c r="C386" s="114"/>
      <c r="E386" s="116"/>
      <c r="F386" s="116"/>
      <c r="G386" s="116"/>
      <c r="H386" s="114"/>
      <c r="I386" s="114"/>
      <c r="J386" s="114"/>
      <c r="K386" s="115"/>
      <c r="L386" s="117"/>
      <c r="M386" s="114"/>
      <c r="N386" s="119"/>
      <c r="O386" s="119"/>
      <c r="P386" s="119"/>
    </row>
    <row r="387" spans="3:16" s="113" customFormat="1" ht="20.100000000000001" customHeight="1">
      <c r="C387" s="114"/>
      <c r="E387" s="116"/>
      <c r="F387" s="116"/>
      <c r="G387" s="116"/>
      <c r="H387" s="114"/>
      <c r="I387" s="114"/>
      <c r="J387" s="114"/>
      <c r="K387" s="115"/>
      <c r="L387" s="117"/>
      <c r="M387" s="114"/>
      <c r="N387" s="119"/>
      <c r="O387" s="119"/>
      <c r="P387" s="119"/>
    </row>
    <row r="388" spans="3:16" s="113" customFormat="1" ht="20.100000000000001" customHeight="1">
      <c r="C388" s="114"/>
      <c r="E388" s="116"/>
      <c r="F388" s="116"/>
      <c r="G388" s="116"/>
      <c r="H388" s="114"/>
      <c r="I388" s="114"/>
      <c r="J388" s="114"/>
      <c r="K388" s="115"/>
      <c r="L388" s="117"/>
      <c r="M388" s="114"/>
      <c r="N388" s="119"/>
      <c r="O388" s="119"/>
      <c r="P388" s="119"/>
    </row>
    <row r="389" spans="3:16" s="113" customFormat="1" ht="20.100000000000001" customHeight="1">
      <c r="C389" s="114"/>
      <c r="E389" s="116"/>
      <c r="F389" s="116"/>
      <c r="G389" s="116"/>
      <c r="H389" s="114"/>
      <c r="I389" s="114"/>
      <c r="J389" s="114"/>
      <c r="K389" s="115"/>
      <c r="L389" s="117"/>
      <c r="M389" s="114"/>
      <c r="N389" s="119"/>
      <c r="O389" s="119"/>
      <c r="P389" s="119"/>
    </row>
  </sheetData>
  <mergeCells count="30">
    <mergeCell ref="L98:L101"/>
    <mergeCell ref="N98:N101"/>
    <mergeCell ref="L103:L104"/>
    <mergeCell ref="N103:N104"/>
    <mergeCell ref="L74:L83"/>
    <mergeCell ref="N74:N83"/>
    <mergeCell ref="L85:L89"/>
    <mergeCell ref="N85:N89"/>
    <mergeCell ref="O85:O89"/>
    <mergeCell ref="L91:L96"/>
    <mergeCell ref="N91:N96"/>
    <mergeCell ref="L53:L63"/>
    <mergeCell ref="N53:N63"/>
    <mergeCell ref="O53:O63"/>
    <mergeCell ref="L65:L72"/>
    <mergeCell ref="N65:N72"/>
    <mergeCell ref="O65:O72"/>
    <mergeCell ref="L21:L35"/>
    <mergeCell ref="N21:N35"/>
    <mergeCell ref="O21:O35"/>
    <mergeCell ref="L37:L51"/>
    <mergeCell ref="N37:N51"/>
    <mergeCell ref="O37:O51"/>
    <mergeCell ref="J1:K1"/>
    <mergeCell ref="E3:G3"/>
    <mergeCell ref="L3:O3"/>
    <mergeCell ref="E4:G4"/>
    <mergeCell ref="L6:L19"/>
    <mergeCell ref="N6:N19"/>
    <mergeCell ref="O6:O19"/>
  </mergeCells>
  <phoneticPr fontId="4" type="noConversion"/>
  <printOptions horizontalCentered="1"/>
  <pageMargins left="0.19685039370078741" right="0.19685039370078741" top="0.43307086614173229" bottom="0.39370078740157483" header="0.31496062992125984" footer="0.31496062992125984"/>
  <pageSetup paperSize="9" scale="45" fitToHeight="0" orientation="portrait" r:id="rId1"/>
  <rowBreaks count="3" manualBreakCount="3">
    <brk id="18" min="1" max="10" man="1"/>
    <brk id="42" min="1" max="10" man="1"/>
    <brk id="65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Check List (System)</vt:lpstr>
      <vt:lpstr>Check List(Patrol)</vt:lpstr>
      <vt:lpstr>'Check List (System)'!Print_Area</vt:lpstr>
      <vt:lpstr>'Check List(Patrol)'!Print_Area</vt:lpstr>
      <vt:lpstr>'Check List (System)'!Print_Titles</vt:lpstr>
      <vt:lpstr>'Check List(Patrol)'!Print_Titles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</cp:lastModifiedBy>
  <cp:lastPrinted>2022-11-11T07:06:31Z</cp:lastPrinted>
  <dcterms:created xsi:type="dcterms:W3CDTF">2022-05-10T01:33:03Z</dcterms:created>
  <dcterms:modified xsi:type="dcterms:W3CDTF">2022-11-11T07:20:11Z</dcterms:modified>
</cp:coreProperties>
</file>